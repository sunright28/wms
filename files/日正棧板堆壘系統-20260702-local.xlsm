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  <sheet name="OrderBase" sheetId="12" r:id="rId3"/>
    <sheet name="OrderBase-1" sheetId="13" r:id="rId4"/>
    <sheet name="PalletPickList" sheetId="14" r:id="rId5"/>
    <sheet name="Upload_Buffer" sheetId="15" r:id="rId6"/>
    <sheet name="PDF_Pallet_Report_P1" sheetId="20" r:id="rId7"/>
    <sheet name="PDF_Original_Order_P1" sheetId="21" r:id="rId8"/>
    <sheet name="PDF_Pallets_All_P1" sheetId="22" r:id="rId9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" i="14" l="1"/>
  <c r="U3" i="14"/>
  <c r="T3" i="14"/>
  <c r="S3" i="14"/>
  <c r="V2" i="14"/>
  <c r="U2" i="14"/>
  <c r="T2" i="14"/>
  <c r="S2" i="14"/>
</calcChain>
</file>

<file path=xl/sharedStrings.xml><?xml version="1.0" encoding="utf-8"?>
<sst xmlns="http://schemas.openxmlformats.org/spreadsheetml/2006/main" count="300" uniqueCount="205">
  <si>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</si>
  <si>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</si>
  <si>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</si>
  <si>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</si>
  <si>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</si>
  <si>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</si>
  <si>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</si>
  <si>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</si>
  <si>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</si>
  <si>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</si>
  <si>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</si>
  <si>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</si>
  <si>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</si>
  <si>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</si>
  <si>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</si>
  <si>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</si>
  <si>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</si>
  <si>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</si>
  <si>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</si>
  <si>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</si>
  <si>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</si>
  <si>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</si>
  <si>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</si>
  <si>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</si>
  <si>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</si>
  <si>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</si>
  <si>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</si>
  <si>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</si>
  <si>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</si>
  <si>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</si>
  <si>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</si>
  <si>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</si>
  <si>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</si>
  <si>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</si>
  <si>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</si>
  <si>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</si>
  <si>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</si>
  <si>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</si>
  <si>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</si>
  <si>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</si>
  <si>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</si>
  <si>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</si>
  <si>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</si>
  <si>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</si>
  <si>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</si>
  <si>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</si>
  <si>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</si>
  <si>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</si>
  <si>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</si>
  <si>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</si>
  <si>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</si>
  <si>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</si>
  <si>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</si>
  <si>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</si>
  <si>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</si>
  <si>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</si>
  <si>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</si>
  <si>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</si>
  <si>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</si>
  <si>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</si>
  <si>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</si>
  <si>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</si>
  <si>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</si>
  <si>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</si>
  <si>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</si>
  <si>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</si>
  <si>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</si>
  <si>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</si>
  <si>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</si>
  <si>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</si>
  <si>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</si>
  <si>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</si>
  <si>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</si>
  <si>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</si>
  <si>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</si>
  <si>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</si>
  <si>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</si>
  <si>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</si>
  <si>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</si>
  <si>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</si>
  <si>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</si>
  <si>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</si>
  <si>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</si>
  <si>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</si>
  <si>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</si>
  <si>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</si>
  <si>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</si>
  <si>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</si>
  <si>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</si>
  <si>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</si>
  <si>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</si>
  <si>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</si>
  <si>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</si>
  <si>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</si>
  <si>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</si>
  <si>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</si>
  <si>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</si>
  <si>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</si>
  <si>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</si>
  <si>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</si>
  <si>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</si>
  <si>
    <t>J:\wen\棧板堆疊\20260701\味橋0702-T7008.xlsx</t>
  </si>
  <si>
    <t>J:\wen\棧板堆疊\20260701\出貨板數材積計算-1150505.xls</t>
    <phoneticPr fontId="1" type="noConversion"/>
  </si>
  <si>
    <t>出貨板數材積計算-1150505.xls</t>
    <phoneticPr fontId="1" type="noConversion"/>
  </si>
  <si>
    <t>產品主檔：出貨板數材積計算-1150505.xls</t>
    <phoneticPr fontId="1" type="noConversion"/>
  </si>
  <si>
    <t>訂單檔案：味橋0702-T7008.xlsx</t>
  </si>
  <si>
    <t>訂單數量總計：</t>
  </si>
  <si>
    <t>出貨廠商：</t>
  </si>
  <si>
    <t>味橋</t>
  </si>
  <si>
    <t>出貨日期：</t>
  </si>
  <si>
    <t>0702</t>
  </si>
  <si>
    <t>味橋0702-T7008.xlsx</t>
    <phoneticPr fontId="1" type="noConversion"/>
  </si>
  <si>
    <t>流水號</t>
  </si>
  <si>
    <t>原始項次</t>
  </si>
  <si>
    <t>品號</t>
  </si>
  <si>
    <t>品名</t>
  </si>
  <si>
    <t>原始訂單數量</t>
  </si>
  <si>
    <t>出貨單位</t>
  </si>
  <si>
    <t>出貨數量</t>
  </si>
  <si>
    <t>等效箱數</t>
  </si>
  <si>
    <t>總材積</t>
  </si>
  <si>
    <t>總毛重</t>
  </si>
  <si>
    <t>狀態</t>
  </si>
  <si>
    <t>單位重量</t>
  </si>
  <si>
    <t>單位材積</t>
  </si>
  <si>
    <t>每箱數量</t>
  </si>
  <si>
    <t>原始單位</t>
  </si>
  <si>
    <t>每板箱數</t>
  </si>
  <si>
    <t>效期</t>
  </si>
  <si>
    <t>總數量</t>
  </si>
  <si>
    <t>轉換比例</t>
  </si>
  <si>
    <t>撿貨數量</t>
  </si>
  <si>
    <t>件數</t>
  </si>
  <si>
    <t>國際條碼</t>
  </si>
  <si>
    <t>001</t>
  </si>
  <si>
    <t>AM0004</t>
  </si>
  <si>
    <t>油蔥酥</t>
  </si>
  <si>
    <t>袋</t>
  </si>
  <si>
    <t>OK</t>
  </si>
  <si>
    <t>KG</t>
  </si>
  <si>
    <t/>
  </si>
  <si>
    <t>No.</t>
  </si>
  <si>
    <t>項次</t>
  </si>
  <si>
    <t>訂單數量</t>
  </si>
  <si>
    <t>庫存數量</t>
  </si>
  <si>
    <t>換算比例</t>
  </si>
  <si>
    <t>備註</t>
  </si>
  <si>
    <t>棧板編號</t>
  </si>
  <si>
    <t>單位</t>
  </si>
  <si>
    <t>本列材積</t>
  </si>
  <si>
    <t>本列重量</t>
  </si>
  <si>
    <t>單箱重量</t>
  </si>
  <si>
    <t>單箱材積</t>
  </si>
  <si>
    <t>備註1</t>
  </si>
  <si>
    <t>排序</t>
  </si>
  <si>
    <t>訂單單位</t>
  </si>
  <si>
    <t>整板數量</t>
  </si>
  <si>
    <t>項數</t>
  </si>
  <si>
    <t>總重量</t>
  </si>
  <si>
    <t>容積比</t>
  </si>
  <si>
    <t>散貨混板</t>
  </si>
  <si>
    <t>預備板</t>
  </si>
  <si>
    <t>系列名稱</t>
  </si>
  <si>
    <t>建議板數</t>
  </si>
  <si>
    <t>散貨/非系列</t>
  </si>
  <si>
    <t>棧板詳細資料已建立 PalletPickList。</t>
  </si>
  <si>
    <t>棧板號</t>
  </si>
  <si>
    <t>利用率</t>
  </si>
  <si>
    <t>總件數</t>
  </si>
  <si>
    <t>檢貨數量文字</t>
  </si>
  <si>
    <t>訂單數量文字</t>
  </si>
  <si>
    <t>重_箱</t>
  </si>
  <si>
    <t>拆分純數字數量</t>
  </si>
  <si>
    <t>出貨廠商</t>
  </si>
  <si>
    <t>出貨日期</t>
  </si>
  <si>
    <t>商品條碼</t>
  </si>
  <si>
    <t>外箱條碼</t>
  </si>
  <si>
    <t>出貨產品標籤</t>
  </si>
  <si>
    <t>版本:20260701</t>
  </si>
  <si>
    <t xml:space="preserve">訂單總計：1 板 ， 總重量 128.0 kg ， 總材積 12.0 才 。 </t>
  </si>
  <si>
    <t>棧板 #1   重量：128.0kg   材積：12.0才 (21.8%)</t>
  </si>
  <si>
    <t>重/箱</t>
  </si>
  <si>
    <t>棧板 #1</t>
  </si>
  <si>
    <t>120KG</t>
  </si>
  <si>
    <t>2026/07/02</t>
  </si>
  <si>
    <t>商品條碼格式不符</t>
  </si>
  <si>
    <t>◻</t>
  </si>
  <si>
    <t>棧板PDF分頁與上傳中繼表已同步建立。</t>
  </si>
  <si>
    <t>棧板出貨總量：</t>
    <phoneticPr fontId="1" type="noConversion"/>
  </si>
  <si>
    <t>R</t>
    <phoneticPr fontId="1" type="noConversion"/>
  </si>
  <si>
    <t>日正食品撿貨分板計畫</t>
  </si>
  <si>
    <t>訂單名稱：味橋0702-T7008 (共計：1 筆)
說明：☒ 品項未參與分板計算。</t>
  </si>
  <si>
    <t>棧板#</t>
  </si>
  <si>
    <t>訂單名稱：味橋0702-T7008 (共計：1 筆)
說明：本報表依棧板編號排序產出。</t>
  </si>
  <si>
    <t>出貨箱數</t>
  </si>
  <si>
    <t>R</t>
    <phoneticPr fontId="1" type="noConversion"/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</si>
  <si>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2028/01/05</t>
    </r>
  </si>
  <si>
    <t>棧板撿貨報表完成(同品項已歸併)。</t>
  </si>
  <si>
    <t>訂單分板資料已建立OrderBase-1。</t>
    <phoneticPr fontId="1" type="noConversion"/>
  </si>
  <si>
    <t>工作表1</t>
    <phoneticPr fontId="1" type="noConversion"/>
  </si>
  <si>
    <t>4袋</t>
  </si>
  <si>
    <t xml:space="preserve">   共 4 件</t>
  </si>
  <si>
    <t>列印日期: 2026/07/02 15:34</t>
  </si>
  <si>
    <t>列印日期: 2026/07/02 15:35</t>
  </si>
  <si>
    <t>PDF分板撿貨報表完成。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</si>
</sst>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.0"/>
    <numFmt numFmtId="178" formatCode="0.000"/>
    <numFmt numFmtId="179" formatCode="0.0%"/>
    <numFmt numFmtId="180" formatCode="yyyy/mm/dd"/>
  </numFmts>
  <fonts count="3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u/>
      <sz val="20"/>
      <color theme="1"/>
      <name val="新細明體"/>
      <family val="1"/>
      <charset val="136"/>
      <scheme val="minor"/>
    </font>
    <font>
      <b/>
      <sz val="15"/>
      <color rgb="FF000000"/>
      <name val="新細明體"/>
      <family val="1"/>
      <charset val="136"/>
      <scheme val="minor"/>
    </font>
    <font>
      <b/>
      <sz val="18"/>
      <color rgb="FF000000"/>
      <name val="新細明體"/>
      <family val="1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24"/>
      <color theme="1"/>
      <name val="Wingdings 2"/>
      <family val="1"/>
      <charset val="2"/>
    </font>
    <font>
      <b/>
      <sz val="14"/>
      <color theme="1"/>
      <name val="新細明體"/>
      <family val="1"/>
      <charset val="136"/>
      <scheme val="minor"/>
    </font>
    <font>
      <b/>
      <sz val="34"/>
      <color theme="1"/>
      <name val="Segoe UI Symbol"/>
      <family val="2"/>
    </font>
    <font>
      <b/>
      <sz val="14"/>
      <color theme="1"/>
      <name val="微軟正黑體"/>
      <family val="2"/>
      <charset val="136"/>
    </font>
    <font>
      <sz val="33"/>
      <color theme="1"/>
      <name val="Segoe UI Symbol"/>
      <family val="2"/>
    </font>
    <font>
      <b/>
      <u/>
      <sz val="14"/>
      <color theme="1"/>
      <name val="新細明體"/>
      <family val="1"/>
      <charset val="136"/>
      <scheme val="minor"/>
    </font>
    <font>
      <b/>
      <sz val="16"/>
      <color theme="1"/>
      <name val="微軟正黑體"/>
      <family val="2"/>
      <charset val="136"/>
    </font>
    <font>
      <b/>
      <sz val="14"/>
      <color rgb="FF000000"/>
      <name val="Segoe UI Symbol"/>
      <family val="2"/>
    </font>
    <font>
      <b/>
      <sz val="14"/>
      <color rgb="FF000000"/>
      <name val="新細明體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0" fillId="0" borderId="0" xfId="0" applyFont="1">
      <alignment vertical="center"/>
    </xf>
    <xf numFmtId="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20" fillId="0" borderId="1" xfId="0" applyFont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24" fillId="8" borderId="1" xfId="0" applyFont="1" applyFill="1" applyBorder="1">
      <alignment vertical="center"/>
    </xf>
    <xf numFmtId="177" fontId="24" fillId="8" borderId="1" xfId="0" applyNumberFormat="1" applyFont="1" applyFill="1" applyBorder="1">
      <alignment vertical="center"/>
    </xf>
    <xf numFmtId="179" fontId="24" fillId="8" borderId="1" xfId="0" applyNumberFormat="1" applyFont="1" applyFill="1" applyBorder="1">
      <alignment vertical="center"/>
    </xf>
    <xf numFmtId="177" fontId="20" fillId="0" borderId="1" xfId="0" applyNumberFormat="1" applyFont="1" applyBorder="1">
      <alignment vertical="center"/>
    </xf>
    <xf numFmtId="0" fontId="20" fillId="7" borderId="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26" fillId="9" borderId="11" xfId="0" applyFont="1" applyFill="1" applyBorder="1" applyAlignment="1">
      <alignment horizontal="left" vertical="center" indent="1"/>
    </xf>
    <xf numFmtId="0" fontId="26" fillId="9" borderId="9" xfId="0" applyFont="1" applyFill="1" applyBorder="1" applyAlignment="1">
      <alignment horizontal="left" vertical="center" indent="1"/>
    </xf>
    <xf numFmtId="0" fontId="27" fillId="9" borderId="9" xfId="0" applyFont="1" applyFill="1" applyBorder="1" applyAlignment="1">
      <alignment horizontal="left" vertical="center"/>
    </xf>
    <xf numFmtId="0" fontId="27" fillId="9" borderId="12" xfId="0" applyFont="1" applyFill="1" applyBorder="1" applyAlignment="1">
      <alignment horizontal="left" vertical="center"/>
    </xf>
    <xf numFmtId="0" fontId="28" fillId="10" borderId="1" xfId="0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28" fillId="10" borderId="14" xfId="0" applyFont="1" applyFill="1" applyBorder="1" applyAlignment="1">
      <alignment horizontal="center" vertical="center"/>
    </xf>
    <xf numFmtId="0" fontId="30" fillId="0" borderId="8" xfId="0" applyFont="1" applyFill="1" applyBorder="1" applyAlignment="1">
      <alignment horizontal="center" vertical="center"/>
    </xf>
    <xf numFmtId="49" fontId="30" fillId="0" borderId="8" xfId="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180" fontId="30" fillId="0" borderId="8" xfId="0" applyNumberFormat="1" applyFont="1" applyFill="1" applyBorder="1" applyAlignment="1">
      <alignment horizontal="center" vertical="center"/>
    </xf>
    <xf numFmtId="0" fontId="31" fillId="0" borderId="8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180" fontId="20" fillId="0" borderId="0" xfId="0" applyNumberFormat="1" applyFont="1">
      <alignment vertical="center"/>
    </xf>
    <xf numFmtId="18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2" fillId="10" borderId="16" xfId="0" applyFont="1" applyFill="1" applyBorder="1" applyAlignment="1">
      <alignment vertical="center" wrapText="1"/>
    </xf>
    <xf numFmtId="0" fontId="32" fillId="10" borderId="8" xfId="0" applyFont="1" applyFill="1" applyBorder="1" applyAlignment="1">
      <alignment vertical="center" wrapText="1"/>
    </xf>
    <xf numFmtId="0" fontId="32" fillId="10" borderId="17" xfId="0" applyFont="1" applyFill="1" applyBorder="1" applyAlignment="1">
      <alignment vertical="center" wrapText="1"/>
    </xf>
    <xf numFmtId="0" fontId="32" fillId="10" borderId="18" xfId="0" applyFont="1" applyFill="1" applyBorder="1" applyAlignment="1">
      <alignment vertical="center" wrapText="1"/>
    </xf>
    <xf numFmtId="0" fontId="32" fillId="10" borderId="19" xfId="0" applyFont="1" applyFill="1" applyBorder="1" applyAlignment="1">
      <alignment vertical="center" wrapText="1"/>
    </xf>
    <xf numFmtId="0" fontId="32" fillId="10" borderId="20" xfId="0" applyFont="1" applyFill="1" applyBorder="1" applyAlignment="1">
      <alignment vertical="center" wrapText="1"/>
    </xf>
    <xf numFmtId="0" fontId="30" fillId="10" borderId="1" xfId="0" applyFont="1" applyFill="1" applyBorder="1" applyAlignment="1">
      <alignment horizontal="center" vertical="center"/>
    </xf>
    <xf numFmtId="0" fontId="34" fillId="11" borderId="13" xfId="0" applyFont="1" applyFill="1" applyBorder="1" applyAlignment="1">
      <alignment horizontal="center" vertical="center" wrapText="1"/>
    </xf>
    <xf numFmtId="0" fontId="5" fillId="11" borderId="13" xfId="0" applyFont="1" applyFill="1" applyBorder="1" applyAlignment="1">
      <alignment horizontal="center" vertical="center"/>
    </xf>
    <xf numFmtId="49" fontId="5" fillId="11" borderId="13" xfId="0" applyNumberFormat="1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left" vertical="center"/>
    </xf>
    <xf numFmtId="0" fontId="33" fillId="11" borderId="13" xfId="0" applyFont="1" applyFill="1" applyBorder="1" applyAlignment="1">
      <alignment horizontal="center" vertical="center"/>
    </xf>
    <xf numFmtId="0" fontId="30" fillId="11" borderId="13" xfId="0" applyFont="1" applyFill="1" applyBorder="1" applyAlignment="1">
      <alignment horizontal="center" vertical="center"/>
    </xf>
    <xf numFmtId="0" fontId="35" fillId="10" borderId="16" xfId="0" applyFont="1" applyFill="1" applyBorder="1" applyAlignment="1">
      <alignment vertical="center" wrapText="1"/>
    </xf>
    <xf numFmtId="0" fontId="35" fillId="10" borderId="8" xfId="0" applyFont="1" applyFill="1" applyBorder="1" applyAlignment="1">
      <alignment vertical="center" wrapText="1"/>
    </xf>
    <xf numFmtId="0" fontId="35" fillId="10" borderId="17" xfId="0" applyFont="1" applyFill="1" applyBorder="1" applyAlignment="1">
      <alignment vertical="center" wrapText="1"/>
    </xf>
    <xf numFmtId="0" fontId="35" fillId="10" borderId="18" xfId="0" applyFont="1" applyFill="1" applyBorder="1" applyAlignment="1">
      <alignment vertical="center" wrapText="1"/>
    </xf>
    <xf numFmtId="0" fontId="35" fillId="10" borderId="19" xfId="0" applyFont="1" applyFill="1" applyBorder="1" applyAlignment="1">
      <alignment vertical="center" wrapText="1"/>
    </xf>
    <xf numFmtId="0" fontId="35" fillId="10" borderId="20" xfId="0" applyFont="1" applyFill="1" applyBorder="1" applyAlignment="1">
      <alignment vertical="center" wrapText="1"/>
    </xf>
    <xf numFmtId="0" fontId="34" fillId="11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49" fontId="5" fillId="11" borderId="0" xfId="0" applyNumberFormat="1" applyFont="1" applyFill="1" applyAlignment="1">
      <alignment horizontal="center" vertical="center"/>
    </xf>
    <xf numFmtId="0" fontId="5" fillId="11" borderId="0" xfId="0" applyFont="1" applyFill="1" applyAlignment="1">
      <alignment horizontal="left" vertical="center"/>
    </xf>
    <xf numFmtId="0" fontId="6" fillId="11" borderId="0" xfId="0" applyFont="1" applyFill="1" applyAlignment="1">
      <alignment horizontal="center" vertical="center"/>
    </xf>
    <xf numFmtId="0" fontId="0" fillId="0" borderId="0" xfId="0" applyBorder="1">
      <alignment vertical="center"/>
    </xf>
    <xf numFmtId="0" fontId="0" fillId="11" borderId="21" xfId="0" applyFill="1" applyBorder="1">
      <alignment vertical="center"/>
    </xf>
    <xf numFmtId="0" fontId="36" fillId="11" borderId="21" xfId="0" applyFont="1" applyFill="1" applyBorder="1">
      <alignment vertical="center"/>
    </xf>
    <xf numFmtId="0" fontId="33" fillId="11" borderId="21" xfId="0" applyFont="1" applyFill="1" applyBorder="1" applyAlignment="1">
      <alignment horizontal="center" vertical="center"/>
    </xf>
    <xf numFmtId="0" fontId="30" fillId="11" borderId="2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12" sqref="D12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27" t="s">
        <v>104</v>
      </c>
      <c r="F2" s="23" t="s">
        <v>81</v>
      </c>
      <c r="G2" s="23" t="s">
        <v>80</v>
      </c>
    </row>
    <row r="3" spans="2:7" ht="24.75" customHeight="1" thickBot="1">
      <c r="B3" s="2" t="s">
        <v>1</v>
      </c>
      <c r="C3" s="27" t="s">
        <v>105</v>
      </c>
      <c r="D3" s="30" t="s">
        <v>106</v>
      </c>
      <c r="E3" s="31">
        <v>120</v>
      </c>
      <c r="F3" s="24" t="s">
        <v>76</v>
      </c>
      <c r="G3" s="24">
        <v>12</v>
      </c>
    </row>
    <row r="4" spans="2:7" ht="24.75" customHeight="1" thickBot="1">
      <c r="B4" s="2" t="s">
        <v>2</v>
      </c>
      <c r="C4" s="27" t="s">
        <v>198</v>
      </c>
      <c r="D4" s="34" t="s">
        <v>107</v>
      </c>
      <c r="E4" s="26" t="s">
        <v>108</v>
      </c>
      <c r="F4" s="24" t="s">
        <v>77</v>
      </c>
      <c r="G4" s="24">
        <v>10</v>
      </c>
    </row>
    <row r="5" spans="2:7" ht="24.75" customHeight="1" thickBot="1">
      <c r="B5" s="2" t="s">
        <v>3</v>
      </c>
      <c r="C5" s="27" t="s">
        <v>165</v>
      </c>
      <c r="D5" s="34" t="s">
        <v>109</v>
      </c>
      <c r="E5" s="35" t="s">
        <v>110</v>
      </c>
      <c r="F5" s="32" t="s">
        <v>95</v>
      </c>
      <c r="G5" s="24">
        <v>10</v>
      </c>
    </row>
    <row r="6" spans="2:7" ht="24.75" customHeight="1" thickBot="1">
      <c r="B6" s="2" t="s">
        <v>5</v>
      </c>
      <c r="C6" s="27" t="s">
        <v>187</v>
      </c>
      <c r="D6" s="30" t="s">
        <v>188</v>
      </c>
      <c r="E6" s="37">
        <v>120</v>
      </c>
      <c r="F6" s="24" t="s">
        <v>78</v>
      </c>
      <c r="G6" s="24">
        <v>10</v>
      </c>
    </row>
    <row r="7" spans="2:7" ht="24.75" customHeight="1" thickBot="1">
      <c r="B7" s="2" t="s">
        <v>6</v>
      </c>
      <c r="C7" s="3" t="s">
        <v>197</v>
      </c>
      <c r="F7" s="24" t="s">
        <v>79</v>
      </c>
      <c r="G7" s="24">
        <v>12</v>
      </c>
    </row>
    <row r="8" spans="2:7" ht="20.25" thickBot="1">
      <c r="B8" s="2" t="s">
        <v>4</v>
      </c>
      <c r="C8" s="27" t="s">
        <v>204</v>
      </c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8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D3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4">
      <c r="B1" s="28" t="s">
        <v>111</v>
      </c>
      <c r="D1" t="s">
        <v>101</v>
      </c>
    </row>
    <row r="2" spans="2:4">
      <c r="B2" s="28" t="s">
        <v>199</v>
      </c>
    </row>
    <row r="3" spans="2:4">
      <c r="B3" t="s">
        <v>103</v>
      </c>
      <c r="D3" t="s">
        <v>102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V2"/>
  <sheetViews>
    <sheetView workbookViewId="0"/>
  </sheetViews>
  <sheetFormatPr defaultRowHeight="16.5"/>
  <cols>
    <col min="1" max="1" width="8.125" bestFit="1" customWidth="1"/>
    <col min="2" max="2" width="10.25" bestFit="1" customWidth="1"/>
    <col min="3" max="3" width="8.5" bestFit="1" customWidth="1"/>
    <col min="4" max="4" width="7.5" bestFit="1" customWidth="1"/>
    <col min="5" max="5" width="15" bestFit="1" customWidth="1"/>
    <col min="6" max="8" width="10.25" bestFit="1" customWidth="1"/>
    <col min="9" max="10" width="8.125" bestFit="1" customWidth="1"/>
    <col min="11" max="11" width="6" bestFit="1" customWidth="1"/>
    <col min="12" max="16" width="10.25" bestFit="1" customWidth="1"/>
    <col min="17" max="17" width="6" bestFit="1" customWidth="1"/>
    <col min="18" max="18" width="8.125" bestFit="1" customWidth="1"/>
    <col min="19" max="20" width="10.25" bestFit="1" customWidth="1"/>
    <col min="21" max="21" width="6" bestFit="1" customWidth="1"/>
    <col min="22" max="22" width="10.25" bestFit="1" customWidth="1"/>
  </cols>
  <sheetData>
    <row r="1" spans="1:22" s="44" customFormat="1">
      <c r="A1" s="44" t="s">
        <v>112</v>
      </c>
      <c r="B1" s="44" t="s">
        <v>113</v>
      </c>
      <c r="C1" s="44" t="s">
        <v>114</v>
      </c>
      <c r="D1" s="44" t="s">
        <v>115</v>
      </c>
      <c r="E1" s="44" t="s">
        <v>116</v>
      </c>
      <c r="F1" s="44" t="s">
        <v>117</v>
      </c>
      <c r="G1" s="44" t="s">
        <v>118</v>
      </c>
      <c r="H1" s="44" t="s">
        <v>119</v>
      </c>
      <c r="I1" s="44" t="s">
        <v>120</v>
      </c>
      <c r="J1" s="44" t="s">
        <v>121</v>
      </c>
      <c r="K1" s="44" t="s">
        <v>122</v>
      </c>
      <c r="L1" s="44" t="s">
        <v>123</v>
      </c>
      <c r="M1" s="44" t="s">
        <v>124</v>
      </c>
      <c r="N1" s="44" t="s">
        <v>125</v>
      </c>
      <c r="O1" s="44" t="s">
        <v>126</v>
      </c>
      <c r="P1" s="44" t="s">
        <v>127</v>
      </c>
      <c r="Q1" s="44" t="s">
        <v>128</v>
      </c>
      <c r="R1" s="44" t="s">
        <v>129</v>
      </c>
      <c r="S1" s="44" t="s">
        <v>130</v>
      </c>
      <c r="T1" s="44" t="s">
        <v>131</v>
      </c>
      <c r="U1" s="44" t="s">
        <v>132</v>
      </c>
      <c r="V1" s="44" t="s">
        <v>133</v>
      </c>
    </row>
    <row r="2" spans="1:22">
      <c r="A2">
        <v>1</v>
      </c>
      <c r="B2" s="28" t="s">
        <v>134</v>
      </c>
      <c r="C2" s="28" t="s">
        <v>135</v>
      </c>
      <c r="D2" t="s">
        <v>136</v>
      </c>
      <c r="E2">
        <v>120</v>
      </c>
      <c r="F2" t="s">
        <v>137</v>
      </c>
      <c r="G2" s="45">
        <v>4</v>
      </c>
      <c r="H2" s="46">
        <v>4</v>
      </c>
      <c r="I2" s="46">
        <v>12</v>
      </c>
      <c r="J2" s="46">
        <v>128</v>
      </c>
      <c r="K2" t="s">
        <v>138</v>
      </c>
      <c r="L2">
        <v>32</v>
      </c>
      <c r="M2">
        <v>3</v>
      </c>
      <c r="N2">
        <v>30</v>
      </c>
      <c r="O2" t="s">
        <v>139</v>
      </c>
      <c r="P2">
        <v>20</v>
      </c>
      <c r="R2">
        <v>120</v>
      </c>
      <c r="S2" s="47">
        <v>30</v>
      </c>
      <c r="T2" t="s">
        <v>200</v>
      </c>
      <c r="U2" s="48">
        <v>4</v>
      </c>
      <c r="V2" s="28" t="s">
        <v>140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X2"/>
  <sheetViews>
    <sheetView workbookViewId="0"/>
  </sheetViews>
  <sheetFormatPr defaultRowHeight="16.5"/>
  <cols>
    <col min="1" max="1" width="5" bestFit="1" customWidth="1"/>
    <col min="2" max="2" width="6" bestFit="1" customWidth="1"/>
    <col min="3" max="3" width="8.5" bestFit="1" customWidth="1"/>
    <col min="4" max="4" width="7.5" bestFit="1" customWidth="1"/>
    <col min="5" max="8" width="10.25" bestFit="1" customWidth="1"/>
    <col min="9" max="10" width="8.125" bestFit="1" customWidth="1"/>
    <col min="11" max="11" width="6" bestFit="1" customWidth="1"/>
    <col min="12" max="16" width="10.25" bestFit="1" customWidth="1"/>
    <col min="17" max="17" width="8.5" bestFit="1" customWidth="1"/>
    <col min="18" max="20" width="10.25" bestFit="1" customWidth="1"/>
    <col min="21" max="21" width="6" bestFit="1" customWidth="1"/>
    <col min="22" max="22" width="10.25" bestFit="1" customWidth="1"/>
    <col min="23" max="23" width="6" bestFit="1" customWidth="1"/>
    <col min="24" max="24" width="10.25" bestFit="1" customWidth="1"/>
  </cols>
  <sheetData>
    <row r="1" spans="1:24" s="44" customFormat="1">
      <c r="A1" s="44" t="s">
        <v>141</v>
      </c>
      <c r="B1" s="44" t="s">
        <v>142</v>
      </c>
      <c r="C1" s="44" t="s">
        <v>114</v>
      </c>
      <c r="D1" s="44" t="s">
        <v>115</v>
      </c>
      <c r="E1" s="44" t="s">
        <v>143</v>
      </c>
      <c r="F1" s="44" t="s">
        <v>117</v>
      </c>
      <c r="G1" s="44" t="s">
        <v>118</v>
      </c>
      <c r="H1" s="44" t="s">
        <v>119</v>
      </c>
      <c r="I1" s="44" t="s">
        <v>120</v>
      </c>
      <c r="J1" s="44" t="s">
        <v>121</v>
      </c>
      <c r="K1" s="44" t="s">
        <v>122</v>
      </c>
      <c r="L1" s="44" t="s">
        <v>123</v>
      </c>
      <c r="M1" s="44" t="s">
        <v>124</v>
      </c>
      <c r="N1" s="44" t="s">
        <v>125</v>
      </c>
      <c r="O1" s="44" t="s">
        <v>126</v>
      </c>
      <c r="P1" s="44" t="s">
        <v>127</v>
      </c>
      <c r="Q1" s="44" t="s">
        <v>128</v>
      </c>
      <c r="R1" s="44" t="s">
        <v>144</v>
      </c>
      <c r="S1" s="44" t="s">
        <v>145</v>
      </c>
      <c r="U1" s="44" t="s">
        <v>146</v>
      </c>
      <c r="V1" s="44" t="s">
        <v>131</v>
      </c>
      <c r="W1" s="44" t="s">
        <v>132</v>
      </c>
      <c r="X1" s="44" t="s">
        <v>133</v>
      </c>
    </row>
    <row r="2" spans="1:24">
      <c r="A2">
        <v>1</v>
      </c>
      <c r="B2" s="28" t="s">
        <v>134</v>
      </c>
      <c r="C2" s="28" t="s">
        <v>135</v>
      </c>
      <c r="D2" t="s">
        <v>136</v>
      </c>
      <c r="E2">
        <v>120</v>
      </c>
      <c r="F2" t="s">
        <v>137</v>
      </c>
      <c r="G2" s="45">
        <v>4</v>
      </c>
      <c r="H2" s="45">
        <v>4</v>
      </c>
      <c r="I2" s="46">
        <v>12</v>
      </c>
      <c r="J2" s="46">
        <v>128</v>
      </c>
      <c r="K2" t="s">
        <v>138</v>
      </c>
      <c r="L2">
        <v>32</v>
      </c>
      <c r="M2" s="46">
        <v>3</v>
      </c>
      <c r="N2">
        <v>30</v>
      </c>
      <c r="O2" t="s">
        <v>139</v>
      </c>
      <c r="P2">
        <v>20</v>
      </c>
      <c r="Q2" s="49">
        <v>46757</v>
      </c>
      <c r="R2" s="45">
        <v>120</v>
      </c>
      <c r="S2" s="47">
        <v>30</v>
      </c>
      <c r="T2">
        <v>120</v>
      </c>
      <c r="V2" t="s">
        <v>200</v>
      </c>
      <c r="W2" s="48">
        <v>4</v>
      </c>
      <c r="X2" s="28" t="s">
        <v>140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W7"/>
  <sheetViews>
    <sheetView workbookViewId="0"/>
  </sheetViews>
  <sheetFormatPr defaultRowHeight="16.5"/>
  <cols>
    <col min="1" max="2" width="10.25" bestFit="1" customWidth="1"/>
    <col min="3" max="3" width="8.5" bestFit="1" customWidth="1"/>
    <col min="4" max="4" width="7.5" bestFit="1" customWidth="1"/>
    <col min="5" max="5" width="10.25" bestFit="1" customWidth="1"/>
    <col min="6" max="6" width="6" bestFit="1" customWidth="1"/>
    <col min="7" max="10" width="10.25" bestFit="1" customWidth="1"/>
    <col min="11" max="11" width="9.5" bestFit="1" customWidth="1"/>
    <col min="12" max="12" width="6" bestFit="1" customWidth="1"/>
    <col min="13" max="13" width="10.25" bestFit="1" customWidth="1"/>
    <col min="14" max="14" width="10.25" style="25" bestFit="1" customWidth="1"/>
    <col min="15" max="17" width="10.25" bestFit="1" customWidth="1"/>
    <col min="18" max="18" width="13.25" bestFit="1" customWidth="1"/>
    <col min="19" max="19" width="6" bestFit="1" customWidth="1"/>
    <col min="20" max="21" width="8.125" bestFit="1" customWidth="1"/>
    <col min="22" max="22" width="10.25" bestFit="1" customWidth="1"/>
  </cols>
  <sheetData>
    <row r="1" spans="1:23">
      <c r="A1" s="44" t="s">
        <v>147</v>
      </c>
      <c r="B1" s="44" t="s">
        <v>113</v>
      </c>
      <c r="C1" s="44" t="s">
        <v>114</v>
      </c>
      <c r="D1" s="44" t="s">
        <v>115</v>
      </c>
      <c r="E1" s="44" t="s">
        <v>118</v>
      </c>
      <c r="F1" s="44" t="s">
        <v>148</v>
      </c>
      <c r="G1" s="44" t="s">
        <v>149</v>
      </c>
      <c r="H1" s="44" t="s">
        <v>150</v>
      </c>
      <c r="I1" s="44" t="s">
        <v>151</v>
      </c>
      <c r="J1" s="44" t="s">
        <v>152</v>
      </c>
      <c r="K1" s="44" t="s">
        <v>153</v>
      </c>
      <c r="L1" s="44" t="s">
        <v>154</v>
      </c>
      <c r="M1" s="44" t="s">
        <v>143</v>
      </c>
      <c r="N1" s="59" t="s">
        <v>155</v>
      </c>
      <c r="O1" s="44" t="s">
        <v>156</v>
      </c>
      <c r="P1" s="44" t="s">
        <v>125</v>
      </c>
      <c r="Q1" s="44" t="s">
        <v>131</v>
      </c>
      <c r="R1" s="50" t="s">
        <v>147</v>
      </c>
      <c r="S1" s="50" t="s">
        <v>157</v>
      </c>
      <c r="T1" s="50" t="s">
        <v>120</v>
      </c>
      <c r="U1" s="50" t="s">
        <v>158</v>
      </c>
      <c r="V1" s="50" t="s">
        <v>159</v>
      </c>
      <c r="W1" s="51"/>
    </row>
    <row r="2" spans="1:23">
      <c r="A2" s="58">
        <v>1</v>
      </c>
      <c r="B2" s="28" t="s">
        <v>134</v>
      </c>
      <c r="C2" s="28" t="s">
        <v>135</v>
      </c>
      <c r="D2" t="s">
        <v>136</v>
      </c>
      <c r="E2" s="46">
        <v>4</v>
      </c>
      <c r="F2" t="s">
        <v>137</v>
      </c>
      <c r="G2" s="46">
        <v>12</v>
      </c>
      <c r="H2" s="46">
        <v>128</v>
      </c>
      <c r="I2">
        <v>32</v>
      </c>
      <c r="J2" s="45">
        <v>3</v>
      </c>
      <c r="K2" t="s">
        <v>160</v>
      </c>
      <c r="L2">
        <v>1</v>
      </c>
      <c r="M2" s="48">
        <v>120</v>
      </c>
      <c r="N2" s="25" t="s">
        <v>139</v>
      </c>
      <c r="O2">
        <v>20</v>
      </c>
      <c r="P2">
        <v>30</v>
      </c>
      <c r="R2" s="51">
        <v>1</v>
      </c>
      <c r="S2" s="51">
        <f>COUNTIF($A$2:$A$2, R2)</f>
        <v>1</v>
      </c>
      <c r="T2" s="52">
        <f>SUMIFS($G$2:$G$2, $A$2:$A$2, R2)</f>
        <v>12</v>
      </c>
      <c r="U2" s="52">
        <f>SUMIFS($H$2:$H$2, $A$2:$A$2, R2)</f>
        <v>128</v>
      </c>
      <c r="V2" s="53">
        <f>IF(T2&gt;0, T2/工作表1!$C$11, 0)</f>
        <v>0.21818181818181817</v>
      </c>
      <c r="W2" s="51"/>
    </row>
    <row r="3" spans="1:23">
      <c r="R3" s="54">
        <v>2</v>
      </c>
      <c r="S3" s="54">
        <f>COUNTIF($A$2:$A$2, R3)</f>
        <v>0</v>
      </c>
      <c r="T3" s="55">
        <f>SUMIFS($G$2:$G$2, $A$2:$A$2, R3)</f>
        <v>0</v>
      </c>
      <c r="U3" s="55">
        <f>SUMIFS($H$2:$H$2, $A$2:$A$2, R3)</f>
        <v>0</v>
      </c>
      <c r="V3" s="56">
        <f>IF(T3&gt;0, T3/工作表1!$C$11, 0)</f>
        <v>0</v>
      </c>
      <c r="W3" s="54" t="s">
        <v>161</v>
      </c>
    </row>
    <row r="6" spans="1:23">
      <c r="R6" s="50" t="s">
        <v>162</v>
      </c>
      <c r="S6" s="50" t="s">
        <v>157</v>
      </c>
      <c r="T6" s="50" t="s">
        <v>120</v>
      </c>
      <c r="U6" s="50" t="s">
        <v>158</v>
      </c>
      <c r="V6" s="50" t="s">
        <v>163</v>
      </c>
    </row>
    <row r="7" spans="1:23">
      <c r="R7" s="50" t="s">
        <v>164</v>
      </c>
      <c r="S7" s="50">
        <v>1</v>
      </c>
      <c r="T7" s="57">
        <v>12</v>
      </c>
      <c r="U7" s="57">
        <v>128</v>
      </c>
      <c r="V7" s="57">
        <v>0.30000000000000004</v>
      </c>
    </row>
  </sheetData>
  <sortState ref="A2:N2">
    <sortCondition ref="A2"/>
    <sortCondition descending="1" ref="I2"/>
  </sortState>
  <phoneticPr fontId="1" type="noConversion"/>
  <dataValidations count="1">
    <dataValidation type="list" allowBlank="1" showInputMessage="1" showErrorMessage="1" promptTitle="調整棧板編號" prompt="更換編號後，右側 O 欄彙總表會即時重算。_x000d__x000a_若要新增一板，請選擇最大數字 + 1。" sqref="A2">
      <formula1>"1,2"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Q2"/>
  <sheetViews>
    <sheetView workbookViewId="0"/>
  </sheetViews>
  <sheetFormatPr defaultRowHeight="16.5"/>
  <cols>
    <col min="1" max="5" width="8.125" bestFit="1" customWidth="1"/>
    <col min="6" max="6" width="6" bestFit="1" customWidth="1"/>
    <col min="7" max="7" width="8.5" bestFit="1" customWidth="1"/>
    <col min="8" max="8" width="7.5" bestFit="1" customWidth="1"/>
    <col min="9" max="10" width="15" bestFit="1" customWidth="1"/>
    <col min="11" max="11" width="7.125" bestFit="1" customWidth="1"/>
    <col min="12" max="12" width="10.5" style="79" bestFit="1" customWidth="1"/>
    <col min="13" max="13" width="17.375" bestFit="1" customWidth="1"/>
    <col min="14" max="14" width="10.25" bestFit="1" customWidth="1"/>
    <col min="15" max="15" width="10.5" style="79" bestFit="1" customWidth="1"/>
    <col min="16" max="16" width="10.25" bestFit="1" customWidth="1"/>
    <col min="17" max="17" width="18.375" bestFit="1" customWidth="1"/>
  </cols>
  <sheetData>
    <row r="1" spans="1:17">
      <c r="A1" s="44" t="s">
        <v>166</v>
      </c>
      <c r="B1" s="44" t="s">
        <v>158</v>
      </c>
      <c r="C1" s="44" t="s">
        <v>120</v>
      </c>
      <c r="D1" s="44" t="s">
        <v>167</v>
      </c>
      <c r="E1" s="44" t="s">
        <v>168</v>
      </c>
      <c r="F1" s="44" t="s">
        <v>142</v>
      </c>
      <c r="G1" s="44" t="s">
        <v>114</v>
      </c>
      <c r="H1" s="44" t="s">
        <v>115</v>
      </c>
      <c r="I1" s="44" t="s">
        <v>169</v>
      </c>
      <c r="J1" s="44" t="s">
        <v>170</v>
      </c>
      <c r="K1" s="44" t="s">
        <v>171</v>
      </c>
      <c r="L1" s="78" t="s">
        <v>128</v>
      </c>
      <c r="M1" s="44" t="s">
        <v>172</v>
      </c>
      <c r="N1" s="44" t="s">
        <v>173</v>
      </c>
      <c r="O1" s="78" t="s">
        <v>174</v>
      </c>
      <c r="P1" s="44" t="s">
        <v>175</v>
      </c>
      <c r="Q1" s="44" t="s">
        <v>176</v>
      </c>
    </row>
    <row r="2" spans="1:17">
      <c r="A2" t="s">
        <v>182</v>
      </c>
      <c r="B2">
        <v>128</v>
      </c>
      <c r="C2">
        <v>12</v>
      </c>
      <c r="D2" s="70">
        <v>0.218</v>
      </c>
      <c r="E2">
        <v>4</v>
      </c>
      <c r="F2" s="28" t="s">
        <v>134</v>
      </c>
      <c r="G2" s="28" t="s">
        <v>135</v>
      </c>
      <c r="H2" t="s">
        <v>136</v>
      </c>
      <c r="I2" t="s">
        <v>200</v>
      </c>
      <c r="J2" t="s">
        <v>183</v>
      </c>
      <c r="K2">
        <v>32</v>
      </c>
      <c r="L2" s="79">
        <v>46757</v>
      </c>
      <c r="M2">
        <v>4</v>
      </c>
      <c r="N2" t="s">
        <v>108</v>
      </c>
      <c r="O2" s="79" t="s">
        <v>184</v>
      </c>
      <c r="P2" s="28" t="s">
        <v>140</v>
      </c>
      <c r="Q2" s="28" t="s">
        <v>185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>
    <pageSetUpPr fitToPage="1"/>
  </sheetPr>
  <dimension ref="A1:I7"/>
  <sheetViews>
    <sheetView workbookViewId="0">
      <selection sqref="A1:I1"/>
    </sheetView>
  </sheetViews>
  <sheetFormatPr defaultRowHeight="16.5"/>
  <cols>
    <col min="1" max="1" width="4.625" customWidth="1"/>
    <col min="2" max="2" width="5.625" customWidth="1"/>
    <col min="3" max="3" width="8.625" customWidth="1"/>
    <col min="4" max="4" width="46.625" customWidth="1"/>
    <col min="5" max="5" width="12.625" customWidth="1"/>
    <col min="6" max="6" width="5.125" customWidth="1"/>
    <col min="7" max="7" width="13.625" customWidth="1"/>
    <col min="8" max="8" width="10.625" customWidth="1"/>
    <col min="9" max="9" width="7.625" customWidth="1"/>
  </cols>
  <sheetData>
    <row r="1" spans="1:9" ht="35.1" customHeight="1">
      <c r="A1" s="60" t="s">
        <v>177</v>
      </c>
      <c r="B1" s="60"/>
      <c r="C1" s="60"/>
      <c r="D1" s="60"/>
      <c r="E1" s="60"/>
      <c r="F1" s="60"/>
      <c r="G1" s="60"/>
      <c r="H1" s="60"/>
      <c r="I1" s="60"/>
    </row>
    <row r="2" spans="1:9" ht="20.100000000000001" customHeight="1" thickBot="1">
      <c r="A2" s="62" t="s">
        <v>178</v>
      </c>
      <c r="H2" s="61"/>
      <c r="I2" s="38" t="s">
        <v>202</v>
      </c>
    </row>
    <row r="3" spans="1:9" ht="24.95" customHeight="1" thickTop="1" thickBot="1">
      <c r="A3" s="63" t="s">
        <v>179</v>
      </c>
      <c r="B3" s="63"/>
      <c r="C3" s="63"/>
      <c r="D3" s="63"/>
      <c r="E3" s="63"/>
      <c r="F3" s="63"/>
      <c r="G3" s="63"/>
      <c r="H3" s="63"/>
      <c r="I3" s="63"/>
    </row>
    <row r="4" spans="1:9" ht="26.1" customHeight="1" thickTop="1">
      <c r="A4" s="64" t="s">
        <v>180</v>
      </c>
      <c r="B4" s="65"/>
      <c r="C4" s="65"/>
      <c r="D4" s="65"/>
      <c r="E4" s="65"/>
      <c r="F4" s="65"/>
      <c r="G4" s="66" t="s">
        <v>201</v>
      </c>
      <c r="H4" s="66"/>
      <c r="I4" s="67"/>
    </row>
    <row r="5" spans="1:9" ht="24.95" customHeight="1">
      <c r="A5" s="68" t="s">
        <v>141</v>
      </c>
      <c r="B5" s="68" t="s">
        <v>142</v>
      </c>
      <c r="C5" s="68" t="s">
        <v>114</v>
      </c>
      <c r="D5" s="71" t="s">
        <v>115</v>
      </c>
      <c r="E5" s="68" t="s">
        <v>128</v>
      </c>
      <c r="F5" s="69" t="s">
        <v>189</v>
      </c>
      <c r="G5" s="68" t="s">
        <v>131</v>
      </c>
      <c r="H5" s="68" t="s">
        <v>143</v>
      </c>
      <c r="I5" s="68" t="s">
        <v>181</v>
      </c>
    </row>
    <row r="6" spans="1:9" ht="24" customHeight="1" thickBot="1">
      <c r="A6" s="72">
        <v>1</v>
      </c>
      <c r="B6" s="73" t="s">
        <v>134</v>
      </c>
      <c r="C6" s="73" t="s">
        <v>135</v>
      </c>
      <c r="D6" s="74" t="s">
        <v>136</v>
      </c>
      <c r="E6" s="75">
        <v>46757</v>
      </c>
      <c r="F6" s="76" t="s">
        <v>186</v>
      </c>
      <c r="G6" s="72" t="s">
        <v>200</v>
      </c>
      <c r="H6" s="72" t="s">
        <v>183</v>
      </c>
      <c r="I6" s="72">
        <v>32</v>
      </c>
    </row>
    <row r="7" spans="1:9" ht="17.25" thickTop="1">
      <c r="A7" s="77"/>
      <c r="B7" s="77"/>
      <c r="C7" s="77"/>
      <c r="D7" s="77"/>
      <c r="E7" s="77"/>
      <c r="F7" s="77"/>
      <c r="G7" s="77"/>
      <c r="H7" s="77"/>
      <c r="I7" s="77"/>
    </row>
  </sheetData>
  <mergeCells count="4">
    <mergeCell ref="A1:I1"/>
    <mergeCell ref="A3:I3"/>
    <mergeCell ref="A4:F4"/>
    <mergeCell ref="G4:I4"/>
  </mergeCells>
  <phoneticPr fontId="1" type="noConversion"/>
  <printOptions horizontalCentered="1"/>
  <pageMargins left="0.7" right="0.7" top="0.59055118110236215" bottom="0.31496062992125989" header="0.3" footer="0.3"/>
  <pageSetup paperSize="9" scale="76" fitToHeight="0" orientation="portrait" r:id="rId1"/>
  <headerFooter>
    <oddHeader>&amp;L&amp;"微軟正黑體,粗體"&amp;16 棧板分板明細 (第 1 頁 / 共 1 &amp;R&amp;"微軟正黑體,粗體"&amp;16 味橋0702-T70</oddHeader>
    <oddFooter>&amp;C&amp;"微軟正黑體,粗體"&amp;16 第 &amp;P 頁 /&amp;L&amp;"微軟正黑體,粗體"&amp;16 表單編號:D-&amp;R&amp;"微軟正黑體,粗體"&amp;16 日正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pageSetUpPr fitToPage="1"/>
  </sheetPr>
  <dimension ref="A1:H7"/>
  <sheetViews>
    <sheetView workbookViewId="0">
      <selection sqref="A1:I1"/>
    </sheetView>
  </sheetViews>
  <sheetFormatPr defaultRowHeight="16.5"/>
  <cols>
    <col min="1" max="1" width="12.625" customWidth="1"/>
    <col min="2" max="2" width="4.625" customWidth="1"/>
    <col min="3" max="3" width="5.625" customWidth="1"/>
    <col min="4" max="4" width="8.625" customWidth="1"/>
    <col min="5" max="5" width="39.625" customWidth="1"/>
    <col min="6" max="6" width="6.625" customWidth="1"/>
    <col min="7" max="8" width="10.625" customWidth="1"/>
  </cols>
  <sheetData>
    <row r="1" spans="1:8" ht="27.75">
      <c r="A1" s="60" t="s">
        <v>190</v>
      </c>
      <c r="B1" s="80"/>
      <c r="C1" s="80"/>
      <c r="D1" s="80"/>
      <c r="E1" s="80"/>
      <c r="F1" s="80"/>
      <c r="G1" s="80"/>
      <c r="H1" s="80"/>
    </row>
    <row r="2" spans="1:8" ht="20.100000000000001" customHeight="1">
      <c r="H2" s="38" t="s">
        <v>203</v>
      </c>
    </row>
    <row r="3" spans="1:8" ht="26.1" customHeight="1">
      <c r="A3" s="81" t="s">
        <v>191</v>
      </c>
      <c r="B3" s="82"/>
      <c r="C3" s="82"/>
      <c r="D3" s="82"/>
      <c r="E3" s="82"/>
      <c r="F3" s="82"/>
      <c r="G3" s="82"/>
      <c r="H3" s="83"/>
    </row>
    <row r="4" spans="1:8" ht="26.1" customHeight="1">
      <c r="A4" s="84"/>
      <c r="B4" s="85"/>
      <c r="C4" s="85"/>
      <c r="D4" s="85"/>
      <c r="E4" s="85"/>
      <c r="F4" s="85"/>
      <c r="G4" s="85"/>
      <c r="H4" s="86"/>
    </row>
    <row r="5" spans="1:8" ht="5.0999999999999996" customHeight="1"/>
    <row r="6" spans="1:8" ht="30" customHeight="1">
      <c r="A6" s="87" t="s">
        <v>192</v>
      </c>
      <c r="B6" s="87" t="s">
        <v>141</v>
      </c>
      <c r="C6" s="87" t="s">
        <v>142</v>
      </c>
      <c r="D6" s="87" t="s">
        <v>114</v>
      </c>
      <c r="E6" s="87" t="s">
        <v>115</v>
      </c>
      <c r="F6" s="69" t="s">
        <v>195</v>
      </c>
      <c r="G6" s="87" t="s">
        <v>118</v>
      </c>
      <c r="H6" s="87" t="s">
        <v>143</v>
      </c>
    </row>
    <row r="7" spans="1:8" ht="24.95" customHeight="1">
      <c r="A7" s="88">
        <v>1</v>
      </c>
      <c r="B7" s="89">
        <v>1</v>
      </c>
      <c r="C7" s="90" t="s">
        <v>134</v>
      </c>
      <c r="D7" s="90" t="s">
        <v>135</v>
      </c>
      <c r="E7" s="91" t="s">
        <v>136</v>
      </c>
      <c r="F7" s="92" t="s">
        <v>186</v>
      </c>
      <c r="G7" s="93" t="s">
        <v>200</v>
      </c>
      <c r="H7" s="93" t="s">
        <v>183</v>
      </c>
    </row>
  </sheetData>
  <mergeCells count="2">
    <mergeCell ref="A1:H1"/>
    <mergeCell ref="A3:H4"/>
  </mergeCells>
  <phoneticPr fontId="1" type="noConversion"/>
  <printOptions horizontalCentered="1"/>
  <pageMargins left="0.39370078740157477" right="0.39370078740157477" top="0.59055118110236215" bottom="0.78740157480314954" header="0.3" footer="0.3"/>
  <pageSetup paperSize="9" scale="96" fitToHeight="0" orientation="portrait" r:id="rId1"/>
  <headerFooter>
    <oddHeader>&amp;L&amp;"微軟正黑體,粗體"&amp;16 原始訂單明細 (第 1 頁 / 共 1 頁)&amp;R&amp;"微軟正黑體,粗體"&amp;16 味橋0702-T7008</oddHeader>
    <oddFooter>&amp;C&amp;"微軟正黑體,粗體"&amp;16 第 &amp;P 頁 / 共 &amp;N 頁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pageSetUpPr fitToPage="1"/>
  </sheetPr>
  <dimension ref="A1:H9"/>
  <sheetViews>
    <sheetView workbookViewId="0">
      <selection sqref="A1:I1"/>
    </sheetView>
  </sheetViews>
  <sheetFormatPr defaultRowHeight="16.5"/>
  <cols>
    <col min="1" max="1" width="6.625" customWidth="1"/>
    <col min="2" max="3" width="5.625" customWidth="1"/>
    <col min="4" max="4" width="8.625" customWidth="1"/>
    <col min="5" max="5" width="44.625" customWidth="1"/>
    <col min="6" max="6" width="6.625" customWidth="1"/>
    <col min="7" max="8" width="11.625" customWidth="1"/>
  </cols>
  <sheetData>
    <row r="1" spans="1:8" ht="27.75">
      <c r="A1" s="60" t="s">
        <v>190</v>
      </c>
      <c r="B1" s="80"/>
      <c r="C1" s="80"/>
      <c r="D1" s="80"/>
      <c r="E1" s="80"/>
      <c r="F1" s="80"/>
      <c r="G1" s="80"/>
      <c r="H1" s="80"/>
    </row>
    <row r="2" spans="1:8" ht="20.100000000000001" customHeight="1">
      <c r="H2" s="38" t="s">
        <v>203</v>
      </c>
    </row>
    <row r="3" spans="1:8" ht="26.1" customHeight="1">
      <c r="A3" s="94" t="s">
        <v>193</v>
      </c>
      <c r="B3" s="95"/>
      <c r="C3" s="95"/>
      <c r="D3" s="95"/>
      <c r="E3" s="95"/>
      <c r="F3" s="95"/>
      <c r="G3" s="95"/>
      <c r="H3" s="96"/>
    </row>
    <row r="4" spans="1:8" ht="26.1" customHeight="1">
      <c r="A4" s="97"/>
      <c r="B4" s="98"/>
      <c r="C4" s="98"/>
      <c r="D4" s="98"/>
      <c r="E4" s="98"/>
      <c r="F4" s="98"/>
      <c r="G4" s="98"/>
      <c r="H4" s="99"/>
    </row>
    <row r="5" spans="1:8" ht="5.0999999999999996" customHeight="1"/>
    <row r="6" spans="1:8" ht="30" customHeight="1">
      <c r="A6" s="87" t="s">
        <v>192</v>
      </c>
      <c r="B6" s="87" t="s">
        <v>141</v>
      </c>
      <c r="C6" s="87" t="s">
        <v>142</v>
      </c>
      <c r="D6" s="87" t="s">
        <v>114</v>
      </c>
      <c r="E6" s="87" t="s">
        <v>115</v>
      </c>
      <c r="F6" s="69" t="s">
        <v>195</v>
      </c>
      <c r="G6" s="87" t="s">
        <v>194</v>
      </c>
      <c r="H6" s="87" t="s">
        <v>143</v>
      </c>
    </row>
    <row r="7" spans="1:8" ht="23.1" customHeight="1">
      <c r="A7" s="100">
        <v>1</v>
      </c>
      <c r="B7" s="101">
        <v>1</v>
      </c>
      <c r="C7" s="102" t="s">
        <v>134</v>
      </c>
      <c r="D7" s="102" t="s">
        <v>135</v>
      </c>
      <c r="E7" s="103" t="s">
        <v>136</v>
      </c>
      <c r="F7" s="101"/>
      <c r="G7" s="101" t="s">
        <v>200</v>
      </c>
      <c r="H7" s="104" t="s">
        <v>183</v>
      </c>
    </row>
    <row r="8" spans="1:8" ht="21" customHeight="1" thickBot="1">
      <c r="A8" s="106"/>
      <c r="B8" s="106"/>
      <c r="C8" s="106"/>
      <c r="D8" s="106"/>
      <c r="E8" s="107" t="s">
        <v>196</v>
      </c>
      <c r="F8" s="108" t="s">
        <v>186</v>
      </c>
      <c r="G8" s="109" t="s">
        <v>200</v>
      </c>
      <c r="H8" s="109" t="s">
        <v>183</v>
      </c>
    </row>
    <row r="9" spans="1:8" ht="17.25" thickTop="1">
      <c r="A9" s="105"/>
      <c r="B9" s="105"/>
      <c r="C9" s="105"/>
      <c r="D9" s="105"/>
      <c r="E9" s="105"/>
      <c r="F9" s="105"/>
      <c r="G9" s="105"/>
      <c r="H9" s="105"/>
    </row>
  </sheetData>
  <mergeCells count="2">
    <mergeCell ref="A1:H1"/>
    <mergeCell ref="A3:H4"/>
  </mergeCells>
  <phoneticPr fontId="1" type="noConversion"/>
  <printOptions horizontalCentered="1"/>
  <pageMargins left="0.39370078740157477" right="0.39370078740157477" top="0.59055118110236215" bottom="0.78740157480314954" header="0.3" footer="0.3"/>
  <pageSetup paperSize="9" scale="94" orientation="portrait" r:id="rId1"/>
  <headerFooter>
    <oddHeader>&amp;L&amp;"微軟正黑體,粗體"&amp;16 棧板對點明細 (第 1 頁 / 共 1 頁)&amp;R&amp;"微軟正黑體,粗體"&amp;16 味橋0702-T7008</oddHeader>
    <oddFooter>&amp;C&amp;"微軟正黑體,粗體"&amp;16 第 &amp;P 頁 / 共 &amp;N 頁</oddFooter>
  </headerFooter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工作表1</vt:lpstr>
      <vt:lpstr>_SYS</vt:lpstr>
      <vt:lpstr>OrderBase</vt:lpstr>
      <vt:lpstr>OrderBase-1</vt:lpstr>
      <vt:lpstr>PalletPickList</vt:lpstr>
      <vt:lpstr>Upload_Buffer</vt:lpstr>
      <vt:lpstr>PDF_Pallet_Report_P1</vt:lpstr>
      <vt:lpstr>PDF_Original_Order_P1</vt:lpstr>
      <vt:lpstr>PDF_Pallets_All_P1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2026-07-02T07:35:05Z</cp:lastPrinted>
  <dcterms:created xsi:type="dcterms:W3CDTF">2025-12-13T13:08:39Z</dcterms:created>
  <dcterms:modified xsi:type="dcterms:W3CDTF">2026-07-02T07:37:50Z</dcterms:modified>
</cp:coreProperties>
</file>