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9821d5b1713f4cd7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0" yWindow="0" windowWidth="28800" windowHeight="11760" tabRatio="867"/>
  </bookViews>
  <sheets>
    <sheet name="工作表1" sheetId="1" r:id="rId1"/>
    <sheet name="_SYS" sheetId="2" state="hidden" r:id="rId2"/>
  </sheets>
  <functionGroups builtInGroupCount="17"/>
  <definedNames>
    <definedName name="OrderFileName">"家樂福20260113.xlsx"</definedName>
    <definedName name="SelectedSheetName">"家大園"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<sst xmlns="http://schemas.openxmlformats.org/spreadsheetml/2006/main" count="101" uniqueCount="101">
  <si>
    <t>Step1:開啟產品主檔</t>
    <phoneticPr fontId="1" type="noConversion"/>
  </si>
  <si>
    <t>Step2:開啟訂單主檔</t>
    <phoneticPr fontId="1" type="noConversion"/>
  </si>
  <si>
    <t>Step3:建立基礎排板資料</t>
    <phoneticPr fontId="1" type="noConversion"/>
  </si>
  <si>
    <t>Step4:完成排板品項清單</t>
    <phoneticPr fontId="1" type="noConversion"/>
  </si>
  <si>
    <t>Step7:匯出PDF撿貨報表</t>
  </si>
  <si>
    <t>Step5:產出棧板報表</t>
    <phoneticPr fontId="1" type="noConversion"/>
  </si>
  <si>
    <t>Step6:產出原始訂單報表</t>
    <phoneticPr fontId="1" type="noConversion"/>
  </si>
  <si>
    <t>PS:標準棧板(100cm*120cm*150cm)/(立方英尺)=63.57才</t>
    <phoneticPr fontId="1" type="noConversion"/>
  </si>
  <si>
    <t>可調整棧板可排板容積(才)</t>
    <phoneticPr fontId="1" type="noConversion"/>
  </si>
  <si>
    <r>
      <t>「整板分離」的邏輯是這支程式的</t>
    </r>
    <r>
      <rPr>
        <b/>
        <sz val="12"/>
        <color theme="1"/>
        <rFont val="Arial"/>
        <family val="2"/>
      </rPr>
      <t>第一道過濾器</t>
    </r>
    <r>
      <rPr>
        <sz val="12"/>
        <color theme="1"/>
        <rFont val="Arial"/>
        <family val="2"/>
      </rPr>
      <t>。它的核心目的是：</t>
    </r>
    <r>
      <rPr>
        <b/>
        <sz val="12"/>
        <color theme="1"/>
        <rFont val="Arial"/>
        <family val="2"/>
      </rPr>
      <t>「先把達到滿板標準的產品整堆切出來，剩下的碎數才丟去混載。」</t>
    </r>
  </si>
  <si>
    <r>
      <t>與混載邏輯（動態均分）不同，整板邏輯是**「絕對優先」</t>
    </r>
    <r>
      <rPr>
        <b/>
        <sz val="12"/>
        <color theme="1"/>
        <rFont val="Arial"/>
        <family val="2"/>
      </rPr>
      <t>且</t>
    </r>
    <r>
      <rPr>
        <sz val="12"/>
        <color theme="1"/>
        <rFont val="Arial"/>
        <family val="2"/>
      </rPr>
      <t>「單一品項獨立作業」**的。以下是詳細拆解：</t>
    </r>
  </si>
  <si>
    <t>1. 判斷基準：箱等值 ($tEquivQty$) vs. 滿板標準 ($stdP$)</t>
  </si>
  <si>
    <r>
      <t xml:space="preserve">程式會逐行掃描 </t>
    </r>
    <r>
      <rPr>
        <sz val="10"/>
        <color theme="1"/>
        <rFont val="Google Sans Text"/>
        <family val="2"/>
      </rPr>
      <t>OrderBase</t>
    </r>
    <r>
      <rPr>
        <sz val="12"/>
        <color theme="1"/>
        <rFont val="Arial"/>
        <family val="2"/>
      </rPr>
      <t>，對每一種產品進行「整板資格」檢查：</t>
    </r>
  </si>
  <si>
    <r>
      <t>門檻條件</t>
    </r>
    <r>
      <rPr>
        <sz val="12"/>
        <color theme="1"/>
        <rFont val="Arial"/>
        <family val="2"/>
      </rPr>
      <t xml:space="preserve">：如果該品項的數量 $\ge$ 該產品滿板標準的 </t>
    </r>
    <r>
      <rPr>
        <b/>
        <sz val="12"/>
        <color theme="1"/>
        <rFont val="Arial"/>
        <family val="2"/>
      </rPr>
      <t>95%</t>
    </r>
    <r>
      <rPr>
        <sz val="12"/>
        <color theme="1"/>
        <rFont val="Arial"/>
        <family val="2"/>
      </rPr>
      <t>，就啟動整板分離程式。</t>
    </r>
  </si>
  <si>
    <r>
      <t>計算公式</t>
    </r>
    <r>
      <rPr>
        <sz val="12"/>
        <color theme="1"/>
        <rFont val="Arial"/>
        <family val="2"/>
      </rPr>
      <t>：</t>
    </r>
    <r>
      <rPr>
        <sz val="10"/>
        <color theme="1"/>
        <rFont val="Google Sans Text"/>
        <family val="2"/>
      </rPr>
      <t>If tEquivQty &gt;= (stdP * 0.95) Then ...</t>
    </r>
  </si>
  <si>
    <r>
      <t>範例</t>
    </r>
    <r>
      <rPr>
        <sz val="12"/>
        <color theme="1"/>
        <rFont val="Arial"/>
        <family val="2"/>
      </rPr>
      <t>：若標準一板是 100 箱，只要貨主訂了 95 箱以上，程式就會先給它獨立的一塊棧板。</t>
    </r>
  </si>
  <si>
    <t>2. 數量切割邏輯 (Do While 迴圈)</t>
  </si>
  <si>
    <t>一旦確定要分出整板，程式會進入一個循環，直到剩下的數量「不足一板」為止：</t>
  </si>
  <si>
    <r>
      <t>滿載判定 (102% 規則)</t>
    </r>
    <r>
      <rPr>
        <sz val="12"/>
        <color theme="1"/>
        <rFont val="Arial"/>
        <family val="2"/>
      </rPr>
      <t>：</t>
    </r>
  </si>
  <si>
    <t>如果剩下的貨剛好是標準的一板多一點點（$\le 102\%$），程式會**「全部塞進這一板」**。</t>
  </si>
  <si>
    <t>這是為了避免出現「一板 100 箱，結果剩下 2 箱單獨放一板」的尷尬情況。</t>
  </si>
  <si>
    <r>
      <t>溢出判定</t>
    </r>
    <r>
      <rPr>
        <sz val="12"/>
        <color theme="1"/>
        <rFont val="Arial"/>
        <family val="2"/>
      </rPr>
      <t>：</t>
    </r>
  </si>
  <si>
    <r>
      <t>如果剩下的貨遠超出一板（$&gt; 102\%$），程式會先切出</t>
    </r>
    <r>
      <rPr>
        <b/>
        <sz val="12"/>
        <color theme="1"/>
        <rFont val="Arial"/>
        <family val="2"/>
      </rPr>
      <t xml:space="preserve">精確的 100% (即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>)</t>
    </r>
    <r>
      <rPr>
        <sz val="12"/>
        <color theme="1"/>
        <rFont val="Arial"/>
        <family val="2"/>
      </rPr>
      <t xml:space="preserve"> 作為第一板。</t>
    </r>
  </si>
  <si>
    <t>然後繼續循環，處理剩下的數量。</t>
  </si>
  <si>
    <t>3. 剩餘尾數處理</t>
  </si>
  <si>
    <r>
      <t xml:space="preserve">當迴圈執行到最後，如果剩下的數量低於滿板標準的 </t>
    </r>
    <r>
      <rPr>
        <b/>
        <sz val="12"/>
        <color theme="1"/>
        <rFont val="Arial"/>
        <family val="2"/>
      </rPr>
      <t>95%</t>
    </r>
    <r>
      <rPr>
        <sz val="12"/>
        <color theme="1"/>
        <rFont val="Arial"/>
        <family val="2"/>
      </rPr>
      <t>，這部分就不再開新板，而是：</t>
    </r>
  </si>
  <si>
    <r>
      <t xml:space="preserve">丟入 </t>
    </r>
    <r>
      <rPr>
        <b/>
        <sz val="10"/>
        <color theme="1"/>
        <rFont val="Google Sans Text"/>
        <family val="2"/>
      </rPr>
      <t>itemsMixed</t>
    </r>
    <r>
      <rPr>
        <b/>
        <sz val="12"/>
        <color theme="1"/>
        <rFont val="Arial"/>
        <family val="2"/>
      </rPr>
      <t xml:space="preserve"> 集合</t>
    </r>
    <r>
      <rPr>
        <sz val="12"/>
        <color theme="1"/>
        <rFont val="Arial"/>
        <family val="2"/>
      </rPr>
      <t>：這筆「尾數」會被暫存起來。</t>
    </r>
  </si>
  <si>
    <r>
      <t>進入階段二</t>
    </r>
    <r>
      <rPr>
        <sz val="12"/>
        <color theme="1"/>
        <rFont val="Arial"/>
        <family val="2"/>
      </rPr>
      <t>：等到整份訂單都掃描完後，再跟其他品項的尾數一起送去「混載邏輯」進行併板。</t>
    </r>
  </si>
  <si>
    <t>4. 數據計算方式</t>
  </si>
  <si>
    <r>
      <t>在執行整板寫入（</t>
    </r>
    <r>
      <rPr>
        <sz val="10"/>
        <color theme="1"/>
        <rFont val="Google Sans Text"/>
        <family val="2"/>
      </rPr>
      <t>WriteRow</t>
    </r>
    <r>
      <rPr>
        <sz val="12"/>
        <color theme="1"/>
        <rFont val="Arial"/>
        <family val="2"/>
      </rPr>
      <t>）時，有兩個關鍵動作：</t>
    </r>
  </si>
  <si>
    <r>
      <t>1. 顏色標記</t>
    </r>
    <r>
      <rPr>
        <sz val="12"/>
        <color theme="1"/>
        <rFont val="Arial"/>
        <family val="2"/>
      </rPr>
      <t>：整板的列會被塗上</t>
    </r>
    <r>
      <rPr>
        <b/>
        <sz val="12"/>
        <color theme="1"/>
        <rFont val="Arial"/>
        <family val="2"/>
      </rPr>
      <t>淺藍色</t>
    </r>
    <r>
      <rPr>
        <sz val="12"/>
        <color theme="1"/>
        <rFont val="Arial"/>
        <family val="2"/>
      </rPr>
      <t>（</t>
    </r>
    <r>
      <rPr>
        <sz val="10"/>
        <color theme="1"/>
        <rFont val="Google Sans Text"/>
        <family val="2"/>
      </rPr>
      <t>RGB(219, 235, 254)</t>
    </r>
    <r>
      <rPr>
        <sz val="12"/>
        <color theme="1"/>
        <rFont val="Arial"/>
        <family val="2"/>
      </rPr>
      <t>），並在備註寫上**「整板」**。</t>
    </r>
  </si>
  <si>
    <r>
      <t>2. 棧板編號遞增</t>
    </r>
    <r>
      <rPr>
        <sz val="12"/>
        <color theme="1"/>
        <rFont val="Arial"/>
        <family val="2"/>
      </rPr>
      <t>：每切出一塊整板，</t>
    </r>
    <r>
      <rPr>
        <sz val="10"/>
        <color theme="1"/>
        <rFont val="Google Sans Text"/>
        <family val="2"/>
      </rPr>
      <t>palletNo</t>
    </r>
    <r>
      <rPr>
        <sz val="12"/>
        <color theme="1"/>
        <rFont val="Arial"/>
        <family val="2"/>
      </rPr>
      <t xml:space="preserve"> 就會直接 $+1$，確保每一塊整板都有獨立的身分證。</t>
    </r>
  </si>
  <si>
    <t>5. 邏輯特點總結</t>
  </si>
  <si>
    <t>邏輯點</t>
  </si>
  <si>
    <t>行為</t>
  </si>
  <si>
    <t>優先權</t>
  </si>
  <si>
    <r>
      <t>最高</t>
    </r>
    <r>
      <rPr>
        <sz val="12"/>
        <color theme="1"/>
        <rFont val="Arial"/>
        <family val="2"/>
      </rPr>
      <t>。在任何混載發生前，整板會先被「拿走」。</t>
    </r>
  </si>
  <si>
    <t>空間效率</t>
  </si>
  <si>
    <r>
      <t xml:space="preserve">可能較低。因為它只看該產品的 </t>
    </r>
    <r>
      <rPr>
        <sz val="10"/>
        <color theme="1"/>
        <rFont val="Google Sans Text"/>
        <family val="2"/>
      </rPr>
      <t>stdP</t>
    </r>
    <r>
      <rPr>
        <sz val="12"/>
        <color theme="1"/>
        <rFont val="Arial"/>
        <family val="2"/>
      </rPr>
      <t>，不論材積是否填滿 $63.56$。</t>
    </r>
  </si>
  <si>
    <t>作業方便性</t>
  </si>
  <si>
    <r>
      <t>極高</t>
    </r>
    <r>
      <rPr>
        <sz val="12"/>
        <color theme="1"/>
        <rFont val="Arial"/>
        <family val="2"/>
      </rPr>
      <t>。現場人員看到「整板」標籤，通常直接從儲位叉出，不需拆箱。</t>
    </r>
  </si>
  <si>
    <t>💡 您的邏輯現狀提醒：</t>
  </si>
  <si>
    <r>
      <t>正如我們之前討論的，整板邏輯目前</t>
    </r>
    <r>
      <rPr>
        <b/>
        <sz val="12"/>
        <color theme="1"/>
        <rFont val="Arial"/>
        <family val="2"/>
      </rPr>
      <t xml:space="preserve">完全聽從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>（產品主檔設定）</t>
    </r>
    <r>
      <rPr>
        <sz val="12"/>
        <color theme="1"/>
        <rFont val="Arial"/>
        <family val="2"/>
      </rPr>
      <t>。</t>
    </r>
  </si>
  <si>
    <r>
      <t xml:space="preserve">如果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 xml:space="preserve"> 設得太大</t>
    </r>
    <r>
      <rPr>
        <sz val="12"/>
        <color theme="1"/>
        <rFont val="Arial"/>
        <family val="2"/>
      </rPr>
      <t xml:space="preserve">（例如您的皇膳粉絲）：就會出現材積比高達 </t>
    </r>
    <r>
      <rPr>
        <b/>
        <sz val="12"/>
        <color theme="1"/>
        <rFont val="Arial"/>
        <family val="2"/>
      </rPr>
      <t>129%</t>
    </r>
    <r>
      <rPr>
        <sz val="12"/>
        <color theme="1"/>
        <rFont val="Arial"/>
        <family val="2"/>
      </rPr>
      <t xml:space="preserve"> 的情況，因為程式認為「既然你設定一板 54 箱，那我就給你一板 54 箱」。</t>
    </r>
  </si>
  <si>
    <r>
      <t xml:space="preserve">如果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 xml:space="preserve"> 設得太小</t>
    </r>
    <r>
      <rPr>
        <sz val="12"/>
        <color theme="1"/>
        <rFont val="Arial"/>
        <family val="2"/>
      </rPr>
      <t>：棧板會看起來很空，但程式依然會把它獨立成一板。</t>
    </r>
  </si>
  <si>
    <r>
      <t xml:space="preserve">這套邏輯非常適合「重視出貨效率」的倉庫。如果您需要改成「整板也要考慮不能超材」，我們才需要調整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 xml:space="preserve"> 的判斷點。目前看來，這套邏輯運作得相當精確，</t>
    </r>
  </si>
  <si>
    <r>
      <t xml:space="preserve">「階段二：混載輸出」採用的是一種 </t>
    </r>
    <r>
      <rPr>
        <b/>
        <sz val="12"/>
        <color theme="1"/>
        <rFont val="Arial"/>
        <family val="2"/>
      </rPr>
      <t>「動態均分（Bin Packing）+ 容積寬容」</t>
    </r>
    <r>
      <rPr>
        <sz val="12"/>
        <color theme="1"/>
        <rFont val="Arial"/>
        <family val="2"/>
      </rPr>
      <t xml:space="preserve"> 的邏輯。它的目標不只是填滿，而是試圖讓每個混載板的裝載量相對平均，避免最後一板太空或太滿。</t>
    </r>
  </si>
  <si>
    <t>以下是詳細的步驟拆解：</t>
  </si>
  <si>
    <t>1. 計算混載總量與預期板數</t>
  </si>
  <si>
    <r>
      <t>程式會先掃描所有沒被判定為「整板」的殘餘物（</t>
    </r>
    <r>
      <rPr>
        <sz val="10"/>
        <color theme="1"/>
        <rFont val="Google Sans Text"/>
        <family val="2"/>
      </rPr>
      <t>itemsMixed</t>
    </r>
    <r>
      <rPr>
        <sz val="12"/>
        <color theme="1"/>
        <rFont val="Arial"/>
        <family val="2"/>
      </rPr>
      <t xml:space="preserve"> 集合），計算出這堆散貨的</t>
    </r>
    <r>
      <rPr>
        <b/>
        <sz val="12"/>
        <color theme="1"/>
        <rFont val="Arial"/>
        <family val="2"/>
      </rPr>
      <t>總材積</t>
    </r>
    <r>
      <rPr>
        <sz val="12"/>
        <color theme="1"/>
        <rFont val="Arial"/>
        <family val="2"/>
      </rPr>
      <t>。</t>
    </r>
  </si>
  <si>
    <r>
      <t>計算目標板數</t>
    </r>
    <r>
      <rPr>
        <sz val="12"/>
        <color theme="1"/>
        <rFont val="Arial"/>
        <family val="2"/>
      </rPr>
      <t xml:space="preserve">：使用 </t>
    </r>
    <r>
      <rPr>
        <sz val="10"/>
        <color theme="1"/>
        <rFont val="Google Sans Text"/>
        <family val="2"/>
      </rPr>
      <t>總材積 / 63.56 (標準上限)</t>
    </r>
    <r>
      <rPr>
        <sz val="12"/>
        <color theme="1"/>
        <rFont val="Arial"/>
        <family val="2"/>
      </rPr>
      <t xml:space="preserve"> 並無條件進位。</t>
    </r>
  </si>
  <si>
    <r>
      <t>目的</t>
    </r>
    <r>
      <rPr>
        <sz val="12"/>
        <color theme="1"/>
        <rFont val="Arial"/>
        <family val="2"/>
      </rPr>
      <t>：先確定至少需要幾塊板子來裝這些散件。</t>
    </r>
  </si>
  <si>
    <t>2. 動態設定「裝載目標」（Dynamic Limit）</t>
  </si>
  <si>
    <r>
      <t>這是此程式最聰明的地方。它不會直接用 $63.56$ 作為每板上限，而是計算一個</t>
    </r>
    <r>
      <rPr>
        <b/>
        <sz val="12"/>
        <color theme="1"/>
        <rFont val="Arial"/>
        <family val="2"/>
      </rPr>
      <t>動態上限</t>
    </r>
    <r>
      <rPr>
        <sz val="12"/>
        <color theme="1"/>
        <rFont val="Arial"/>
        <family val="2"/>
      </rPr>
      <t>：</t>
    </r>
  </si>
  <si>
    <r>
      <t>公式</t>
    </r>
    <r>
      <rPr>
        <sz val="12"/>
        <color theme="1"/>
        <rFont val="Arial"/>
        <family val="2"/>
      </rPr>
      <t>：</t>
    </r>
    <r>
      <rPr>
        <sz val="10"/>
        <color theme="1"/>
        <rFont val="Google Sans Text"/>
        <family val="2"/>
      </rPr>
      <t>dynamicLimit = (總材積 / 目標板數) * 1.1</t>
    </r>
  </si>
  <si>
    <r>
      <t>邏輯</t>
    </r>
    <r>
      <rPr>
        <sz val="12"/>
        <color theme="1"/>
        <rFont val="Arial"/>
        <family val="2"/>
      </rPr>
      <t xml:space="preserve">：它先算出一板平均要裝多少，然後給予 </t>
    </r>
    <r>
      <rPr>
        <b/>
        <sz val="12"/>
        <color theme="1"/>
        <rFont val="Arial"/>
        <family val="2"/>
      </rPr>
      <t>10% 的溢裝寬容度</t>
    </r>
    <r>
      <rPr>
        <sz val="12"/>
        <color theme="1"/>
        <rFont val="Arial"/>
        <family val="2"/>
      </rPr>
      <t>（最高不超過 $63.56$）。</t>
    </r>
  </si>
  <si>
    <r>
      <t>優點</t>
    </r>
    <r>
      <rPr>
        <sz val="12"/>
        <color theme="1"/>
        <rFont val="Arial"/>
        <family val="2"/>
      </rPr>
      <t>：這能讓貨物均勻分佈。例如總共有 100 才貨物，分成兩板，它會讓每板盡量接近 50 才，而不是一板塞滿 63 才、另一板只剩 37 才。</t>
    </r>
  </si>
  <si>
    <t>3. 裝載尋找算法 (First Fit Strategy)</t>
  </si>
  <si>
    <t>程式會遍歷每一個散項物件，並嘗試放入現有的混載板中：</t>
  </si>
  <si>
    <r>
      <t>嘗試放入</t>
    </r>
    <r>
      <rPr>
        <sz val="12"/>
        <color theme="1"/>
        <rFont val="Arial"/>
        <family val="2"/>
      </rPr>
      <t xml:space="preserve">：從第 1 個混載板開始檢查，如果「該板現有材積 + 新貨物材積」 $\le$ </t>
    </r>
    <r>
      <rPr>
        <sz val="10"/>
        <color theme="1"/>
        <rFont val="Google Sans Text"/>
        <family val="2"/>
      </rPr>
      <t>dynamicLimit</t>
    </r>
    <r>
      <rPr>
        <sz val="12"/>
        <color theme="1"/>
        <rFont val="Arial"/>
        <family val="2"/>
      </rPr>
      <t>，就放進去。</t>
    </r>
  </si>
  <si>
    <r>
      <t>更新板量</t>
    </r>
    <r>
      <rPr>
        <sz val="12"/>
        <color theme="1"/>
        <rFont val="Arial"/>
        <family val="2"/>
      </rPr>
      <t>：一旦放入，該板的累積材積就會更新，接著處理下一個物件。</t>
    </r>
  </si>
  <si>
    <r>
      <t>開啟新板</t>
    </r>
    <r>
      <rPr>
        <sz val="12"/>
        <color theme="1"/>
        <rFont val="Arial"/>
        <family val="2"/>
      </rPr>
      <t>：如果現有的混載板通通塞不進去，程式就會自動產生一塊編號遞增的新棧板，並把貨物丟進去。</t>
    </r>
  </si>
  <si>
    <t>4. 特色分析</t>
  </si>
  <si>
    <t>特色</t>
  </si>
  <si>
    <t>說明</t>
  </si>
  <si>
    <t>自動擴展</t>
  </si>
  <si>
    <r>
      <t xml:space="preserve">如果貨物形狀或大小導致無法達到 </t>
    </r>
    <r>
      <rPr>
        <sz val="10"/>
        <color theme="1"/>
        <rFont val="Google Sans Text"/>
        <family val="2"/>
      </rPr>
      <t>dynamicLimit</t>
    </r>
    <r>
      <rPr>
        <sz val="12"/>
        <color theme="1"/>
        <rFont val="Arial"/>
        <family val="2"/>
      </rPr>
      <t>，程式會自動增加棧板數，直到裝完為止。</t>
    </r>
  </si>
  <si>
    <t>混合排序</t>
  </si>
  <si>
    <r>
      <t xml:space="preserve">因為 </t>
    </r>
    <r>
      <rPr>
        <sz val="10"/>
        <color theme="1"/>
        <rFont val="Google Sans Text"/>
        <family val="2"/>
      </rPr>
      <t>wsBase</t>
    </r>
    <r>
      <rPr>
        <sz val="12"/>
        <color theme="1"/>
        <rFont val="Arial"/>
        <family val="2"/>
      </rPr>
      <t xml:space="preserve"> 的迴圈是依據原始排序，所以混載的順序通常會維持原始項次的先後順序。</t>
    </r>
  </si>
  <si>
    <t>標記明確</t>
  </si>
  <si>
    <r>
      <t xml:space="preserve">寫入 </t>
    </r>
    <r>
      <rPr>
        <sz val="10"/>
        <color theme="1"/>
        <rFont val="Google Sans Text"/>
        <family val="2"/>
      </rPr>
      <t>PalletPickList</t>
    </r>
    <r>
      <rPr>
        <sz val="12"/>
        <color theme="1"/>
        <rFont val="Arial"/>
        <family val="2"/>
      </rPr>
      <t xml:space="preserve"> 時，這些項目的「備註」欄會自動標示為 </t>
    </r>
    <r>
      <rPr>
        <b/>
        <sz val="12"/>
        <color theme="1"/>
        <rFont val="Arial"/>
        <family val="2"/>
      </rPr>
      <t>"混載"</t>
    </r>
    <r>
      <rPr>
        <sz val="12"/>
        <color theme="1"/>
        <rFont val="Arial"/>
        <family val="2"/>
      </rPr>
      <t>，並取消藍色底色以區別整板。</t>
    </r>
  </si>
  <si>
    <t>0122-UI</t>
    <phoneticPr fontId="1" type="noConversion"/>
  </si>
  <si>
    <r>
      <t>1.</t>
    </r>
    <r>
      <rPr>
        <sz val="12"/>
        <color theme="1"/>
        <rFont val="新細明體"/>
        <family val="2"/>
        <charset val="136"/>
      </rPr>
      <t>修改每板容積彈性系數，</t>
    </r>
    <r>
      <rPr>
        <sz val="12"/>
        <color theme="1"/>
        <rFont val="Arial"/>
        <family val="2"/>
      </rPr>
      <t>2.</t>
    </r>
    <r>
      <rPr>
        <sz val="12"/>
        <color theme="1"/>
        <rFont val="新細明體"/>
        <family val="2"/>
        <charset val="136"/>
      </rPr>
      <t>沒</t>
    </r>
    <r>
      <rPr>
        <sz val="12"/>
        <color theme="1"/>
        <rFont val="Arial"/>
        <family val="2"/>
      </rPr>
      <t>B5</t>
    </r>
    <r>
      <rPr>
        <sz val="12"/>
        <color theme="1"/>
        <rFont val="新細明體"/>
        <family val="2"/>
        <charset val="136"/>
      </rPr>
      <t>之電腦改用</t>
    </r>
    <r>
      <rPr>
        <sz val="12"/>
        <color theme="1"/>
        <rFont val="Arial"/>
        <family val="2"/>
      </rPr>
      <t>A4</t>
    </r>
    <phoneticPr fontId="1" type="noConversion"/>
  </si>
  <si>
    <t xml:space="preserve">        每板容積排板基準                </t>
    <phoneticPr fontId="1" type="noConversion"/>
  </si>
  <si>
    <t>0127-UI</t>
    <phoneticPr fontId="1" type="noConversion"/>
  </si>
  <si>
    <r>
      <t>1.</t>
    </r>
    <r>
      <rPr>
        <sz val="12"/>
        <color theme="1"/>
        <rFont val="新細明體"/>
        <family val="2"/>
        <charset val="136"/>
      </rPr>
      <t>增加系列產品資訊匯總，改變排板邏輯系列集中排板</t>
    </r>
    <r>
      <rPr>
        <sz val="12"/>
        <color theme="1"/>
        <rFont val="新細明體"/>
        <family val="2"/>
        <charset val="136"/>
        <scheme val="minor"/>
      </rPr>
      <t/>
    </r>
    <phoneticPr fontId="1" type="noConversion"/>
  </si>
  <si>
    <t>爆米花</t>
  </si>
  <si>
    <t>布丁</t>
  </si>
  <si>
    <t>茉綠凍</t>
  </si>
  <si>
    <t>豆豉</t>
  </si>
  <si>
    <r>
      <rPr>
        <b/>
        <sz val="12"/>
        <color rgb="FF1F1F1F"/>
        <rFont val="細明體"/>
        <family val="3"/>
        <charset val="136"/>
      </rPr>
      <t>每盒包數</t>
    </r>
    <r>
      <rPr>
        <b/>
        <sz val="12"/>
        <color rgb="FF1F1F1F"/>
        <rFont val="Arial"/>
        <family val="2"/>
      </rPr>
      <t/>
    </r>
    <phoneticPr fontId="1" type="noConversion"/>
  </si>
  <si>
    <r>
      <rPr>
        <b/>
        <sz val="12"/>
        <color rgb="FF1F1F1F"/>
        <rFont val="細明體"/>
        <family val="3"/>
        <charset val="136"/>
      </rPr>
      <t>關鍵字</t>
    </r>
    <r>
      <rPr>
        <b/>
        <sz val="12"/>
        <color rgb="FF1F1F1F"/>
        <rFont val="Arial"/>
        <family val="2"/>
      </rPr>
      <t xml:space="preserve"> </t>
    </r>
    <phoneticPr fontId="1" type="noConversion"/>
  </si>
  <si>
    <t>出貨單位為盒之產品</t>
    <phoneticPr fontId="1" type="noConversion"/>
  </si>
  <si>
    <t>整板可超出百分比</t>
    <phoneticPr fontId="1" type="noConversion"/>
  </si>
  <si>
    <t>併板最大超載比率</t>
    <phoneticPr fontId="1" type="noConversion"/>
  </si>
  <si>
    <t>增加效期資料與報表內加效期，效期資料在訂單檔內工作表2</t>
    <phoneticPr fontId="1" type="noConversion"/>
  </si>
  <si>
    <t>解決品項多效期。</t>
    <phoneticPr fontId="1" type="noConversion"/>
  </si>
  <si>
    <t>品項多效期</t>
    <phoneticPr fontId="1" type="noConversion"/>
  </si>
  <si>
    <t>調整效期與棧板1對1、1對多、多對1及多對多之分板計畫</t>
    <phoneticPr fontId="1" type="noConversion"/>
  </si>
  <si>
    <t>增加訂單數量與出貨棧板數量之核對檢查機制</t>
    <phoneticPr fontId="1" type="noConversion"/>
  </si>
  <si>
    <r>
      <rPr>
        <sz val="12"/>
        <color rgb="FF1F1F1F"/>
        <rFont val="細明體"/>
        <family val="3"/>
        <charset val="136"/>
      </rPr>
      <t>鮮奶油濃湯粉</t>
    </r>
    <r>
      <rPr>
        <sz val="12"/>
        <color rgb="FF1F1F1F"/>
        <rFont val="Arial"/>
        <family val="2"/>
      </rPr>
      <t>100g</t>
    </r>
  </si>
  <si>
    <r>
      <t>孜然唐揚炸粉</t>
    </r>
    <r>
      <rPr>
        <sz val="12"/>
        <color rgb="FF1F1F1F"/>
        <rFont val="Arial"/>
        <family val="2"/>
      </rPr>
      <t>(</t>
    </r>
    <r>
      <rPr>
        <sz val="12"/>
        <color rgb="FF1F1F1F"/>
        <rFont val="細明體"/>
        <family val="3"/>
        <charset val="136"/>
      </rPr>
      <t>炸雞粉</t>
    </r>
    <r>
      <rPr>
        <sz val="12"/>
        <color rgb="FF1F1F1F"/>
        <rFont val="Arial"/>
        <family val="2"/>
      </rPr>
      <t>)100g</t>
    </r>
  </si>
  <si>
    <r>
      <t>起司洋蔥唐揚炸粉</t>
    </r>
    <r>
      <rPr>
        <sz val="12"/>
        <color rgb="FF1F1F1F"/>
        <rFont val="Arial"/>
        <family val="2"/>
      </rPr>
      <t>(</t>
    </r>
    <r>
      <rPr>
        <sz val="12"/>
        <color rgb="FF1F1F1F"/>
        <rFont val="細明體"/>
        <family val="3"/>
        <charset val="136"/>
      </rPr>
      <t>炸雞粉</t>
    </r>
    <r>
      <rPr>
        <sz val="12"/>
        <color rgb="FF1F1F1F"/>
        <rFont val="Arial"/>
        <family val="2"/>
      </rPr>
      <t>)100g</t>
    </r>
  </si>
  <si>
    <t>加入效期不足預警</t>
    <phoneticPr fontId="1" type="noConversion"/>
  </si>
  <si>
    <t>預警效期天數</t>
    <phoneticPr fontId="1" type="noConversion"/>
  </si>
  <si>
    <t>吉利丁</t>
    <phoneticPr fontId="1" type="noConversion"/>
  </si>
  <si>
    <t>加入商品條碼</t>
    <phoneticPr fontId="1" type="noConversion"/>
  </si>
  <si>
    <t>加入外箱條碼</t>
    <phoneticPr fontId="1" type="noConversion"/>
  </si>
  <si>
    <t>20260612、28</t>
    <phoneticPr fontId="1" type="noConversion"/>
  </si>
  <si>
    <t>修改外箱條碼規則</t>
    <phoneticPr fontId="1" type="noConversion"/>
  </si>
  <si>
    <t>修改下載不可執行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</si>
</sst>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 "/>
  </numFmts>
  <fonts count="24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4"/>
      <color theme="1"/>
      <name val="微軟正黑體"/>
      <family val="2"/>
      <charset val="136"/>
    </font>
    <font>
      <b/>
      <sz val="14"/>
      <color rgb="FF0000FF"/>
      <name val="新細明體"/>
      <family val="1"/>
      <charset val="136"/>
      <scheme val="minor"/>
    </font>
    <font>
      <b/>
      <sz val="18"/>
      <color theme="1"/>
      <name val="新細明體"/>
      <family val="1"/>
      <charset val="136"/>
      <scheme val="minor"/>
    </font>
    <font>
      <sz val="14"/>
      <color theme="1"/>
      <name val="新細明體"/>
      <family val="2"/>
      <charset val="136"/>
      <scheme val="minor"/>
    </font>
    <font>
      <sz val="14"/>
      <color theme="1"/>
      <name val="新細明體"/>
      <family val="1"/>
      <charset val="136"/>
      <scheme val="minor"/>
    </font>
    <font>
      <sz val="20"/>
      <color theme="1"/>
      <name val="微軟正黑體"/>
      <family val="2"/>
      <charset val="136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3.5"/>
      <color theme="1"/>
      <name val="Arial"/>
      <family val="2"/>
    </font>
    <font>
      <sz val="10"/>
      <color theme="1"/>
      <name val="Google Sans Text"/>
      <family val="2"/>
    </font>
    <font>
      <b/>
      <sz val="10"/>
      <color theme="1"/>
      <name val="Google Sans Text"/>
      <family val="2"/>
    </font>
    <font>
      <sz val="12"/>
      <color theme="1"/>
      <name val="新細明體"/>
      <family val="2"/>
      <charset val="136"/>
    </font>
    <font>
      <sz val="12"/>
      <color rgb="FF1F1F1F"/>
      <name val="Arial"/>
      <family val="2"/>
    </font>
    <font>
      <b/>
      <sz val="12"/>
      <color rgb="FF1F1F1F"/>
      <name val="Arial"/>
      <family val="2"/>
    </font>
    <font>
      <b/>
      <sz val="12"/>
      <color rgb="FF1F1F1F"/>
      <name val="細明體"/>
      <family val="3"/>
      <charset val="136"/>
    </font>
    <font>
      <b/>
      <sz val="16"/>
      <color theme="1"/>
      <name val="新細明體"/>
      <family val="1"/>
      <charset val="136"/>
      <scheme val="minor"/>
    </font>
    <font>
      <b/>
      <sz val="14"/>
      <color theme="8" tint="-0.499984740745262"/>
      <name val="新細明體"/>
      <family val="1"/>
      <charset val="136"/>
      <scheme val="minor"/>
    </font>
    <font>
      <b/>
      <sz val="14"/>
      <color rgb="FF00206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rgb="FF1F1F1F"/>
      <name val="細明體"/>
      <family val="3"/>
      <charset val="136"/>
    </font>
    <font>
      <sz val="12"/>
      <color rgb="FF008000"/>
      <name val="新細明體"/>
      <family val="2"/>
      <charset val="136"/>
      <scheme val="minor"/>
    </font>
    <font>
      <b/>
      <sz val="12"/>
      <color rgb="FF008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DEDCD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44">
    <xf numFmtId="0" fontId="0" fillId="0" borderId="0" xfId="0">
      <alignment vertical="center"/>
    </xf>
    <xf numFmtId="0" fontId="0" fillId="0" borderId="0" xfId="0" applyAlignment="1">
      <alignment horizontal="left" vertical="center"/>
    </xf>
    <xf numFmtId="0" fontId="2" fillId="2" borderId="1" xfId="0" applyFont="1" applyFill="1" applyBorder="1">
      <alignment vertical="center"/>
    </xf>
    <xf numFmtId="0" fontId="3" fillId="2" borderId="1" xfId="0" applyFont="1" applyFill="1" applyBorder="1">
      <alignment vertical="center"/>
    </xf>
    <xf numFmtId="0" fontId="0" fillId="0" borderId="0" xfId="0" applyAlignment="1">
      <alignment horizontal="left" vertical="center"/>
    </xf>
    <xf numFmtId="0" fontId="2" fillId="3" borderId="0" xfId="0" applyFont="1" applyFill="1" applyBorder="1" applyAlignment="1">
      <alignment horizontal="right" vertical="center"/>
    </xf>
    <xf numFmtId="0" fontId="8" fillId="0" borderId="0" xfId="0" applyFont="1">
      <alignment vertical="center"/>
    </xf>
    <xf numFmtId="0" fontId="10" fillId="0" borderId="0" xfId="0" applyFont="1">
      <alignment vertical="center"/>
    </xf>
    <xf numFmtId="0" fontId="0" fillId="0" borderId="0" xfId="0" applyAlignment="1">
      <alignment horizontal="left" vertical="center" indent="1"/>
    </xf>
    <xf numFmtId="0" fontId="9" fillId="0" borderId="0" xfId="0" applyFont="1">
      <alignment vertical="center"/>
    </xf>
    <xf numFmtId="0" fontId="9" fillId="0" borderId="0" xfId="0" applyFont="1" applyAlignment="1">
      <alignment horizontal="left" vertical="center" indent="1"/>
    </xf>
    <xf numFmtId="0" fontId="8" fillId="0" borderId="0" xfId="0" applyFont="1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8" fillId="0" borderId="0" xfId="0" applyFont="1" applyAlignment="1">
      <alignment horizontal="left" vertical="center" indent="2"/>
    </xf>
    <xf numFmtId="0" fontId="9" fillId="0" borderId="3" xfId="0" applyFont="1" applyBorder="1" applyAlignment="1">
      <alignment vertical="center" wrapText="1"/>
    </xf>
    <xf numFmtId="0" fontId="8" fillId="0" borderId="3" xfId="0" applyFont="1" applyBorder="1" applyAlignment="1">
      <alignment vertical="center" wrapText="1"/>
    </xf>
    <xf numFmtId="0" fontId="4" fillId="4" borderId="2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vertical="center" wrapText="1"/>
    </xf>
    <xf numFmtId="0" fontId="8" fillId="0" borderId="0" xfId="0" applyFont="1" applyFill="1" applyBorder="1" applyAlignment="1">
      <alignment vertical="center" wrapText="1"/>
    </xf>
    <xf numFmtId="0" fontId="17" fillId="0" borderId="5" xfId="0" applyFont="1" applyBorder="1">
      <alignment vertical="center"/>
    </xf>
    <xf numFmtId="9" fontId="17" fillId="5" borderId="6" xfId="0" applyNumberFormat="1" applyFont="1" applyFill="1" applyBorder="1" applyAlignment="1">
      <alignment horizontal="left" vertical="center"/>
    </xf>
    <xf numFmtId="0" fontId="18" fillId="0" borderId="0" xfId="0" applyFont="1">
      <alignment vertical="center"/>
    </xf>
    <xf numFmtId="0" fontId="19" fillId="0" borderId="0" xfId="0" applyFont="1">
      <alignment vertical="center"/>
    </xf>
    <xf numFmtId="0" fontId="15" fillId="0" borderId="3" xfId="0" applyFont="1" applyBorder="1" applyAlignment="1">
      <alignment horizontal="center" vertical="center" wrapText="1" readingOrder="1"/>
    </xf>
    <xf numFmtId="0" fontId="14" fillId="0" borderId="3" xfId="0" applyFont="1" applyBorder="1" applyAlignment="1">
      <alignment horizontal="center" vertical="center" wrapText="1" readingOrder="1"/>
    </xf>
    <xf numFmtId="0" fontId="0" fillId="0" borderId="0" xfId="0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3" fillId="2" borderId="1" xfId="0" applyFont="1" applyFill="1" applyBorder="1">
      <alignment vertical="center"/>
    </xf>
    <xf numFmtId="49" fontId="0" fillId="0" borderId="0" xfId="0" applyNumberFormat="1">
      <alignment vertical="center"/>
    </xf>
    <xf numFmtId="0" fontId="14" fillId="0" borderId="3" xfId="0" applyFont="1" applyBorder="1" applyAlignment="1">
      <alignment horizontal="center" vertical="center" wrapText="1" readingOrder="1"/>
    </xf>
    <xf numFmtId="0" fontId="20" fillId="6" borderId="0" xfId="0" applyFont="1" applyFill="1" applyAlignment="1">
      <alignment horizontal="right" vertical="center"/>
    </xf>
    <xf numFmtId="0" fontId="20" fillId="6" borderId="0" xfId="0" applyFont="1" applyFill="1" applyAlignment="1">
      <alignment horizontal="left" vertical="center"/>
    </xf>
    <xf numFmtId="0" fontId="21" fillId="0" borderId="3" xfId="0" applyFont="1" applyBorder="1" applyAlignment="1">
      <alignment horizontal="center" vertical="center" wrapText="1" readingOrder="1"/>
    </xf>
    <xf numFmtId="176" fontId="17" fillId="5" borderId="6" xfId="0" applyNumberFormat="1" applyFont="1" applyFill="1" applyBorder="1" applyAlignment="1">
      <alignment horizontal="left" vertical="center"/>
    </xf>
    <xf numFmtId="0" fontId="20" fillId="0" borderId="0" xfId="0" applyFont="1" applyAlignment="1">
      <alignment horizontal="right" vertical="center"/>
    </xf>
    <xf numFmtId="49" fontId="20" fillId="0" borderId="0" xfId="0" applyNumberFormat="1" applyFont="1" applyAlignment="1">
      <alignment horizontal="left" vertical="center"/>
    </xf>
    <xf numFmtId="0" fontId="22" fillId="0" borderId="0" xfId="0" applyFont="1">
      <alignment vertical="center"/>
    </xf>
    <xf numFmtId="49" fontId="23" fillId="6" borderId="0" xfId="0" applyNumberFormat="1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3" borderId="0" xfId="0" applyFont="1" applyFill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right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17</xdr:row>
          <xdr:rowOff>9525</xdr:rowOff>
        </xdr:from>
        <xdr:to>
          <xdr:col>1</xdr:col>
          <xdr:colOff>1447800</xdr:colOff>
          <xdr:row>18</xdr:row>
          <xdr:rowOff>19050</xdr:rowOff>
        </xdr:to>
        <xdr:sp macro="" textlink="">
          <xdr:nvSpPr>
            <xdr:cNvPr id="1035" name="CheckBox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0</xdr:rowOff>
        </xdr:from>
        <xdr:to>
          <xdr:col>2</xdr:col>
          <xdr:colOff>1485900</xdr:colOff>
          <xdr:row>18</xdr:row>
          <xdr:rowOff>9525</xdr:rowOff>
        </xdr:to>
        <xdr:sp macro="" textlink="">
          <xdr:nvSpPr>
            <xdr:cNvPr id="1036" name="CheckBox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B1:G215"/>
  <sheetViews>
    <sheetView tabSelected="1" workbookViewId="0">
      <selection activeCell="D10" sqref="D10"/>
    </sheetView>
  </sheetViews>
  <sheetFormatPr defaultRowHeight="16.5"/>
  <cols>
    <col min="1" max="1" width="9.375" customWidth="1"/>
    <col min="2" max="2" width="28.375" customWidth="1"/>
    <col min="3" max="3" width="57.25" customWidth="1"/>
    <col min="4" max="4" width="15.625" style="1" customWidth="1"/>
    <col min="5" max="5" width="11.875" customWidth="1"/>
    <col min="6" max="6" width="22.5" style="25" customWidth="1"/>
    <col min="7" max="7" width="10.25" customWidth="1"/>
    <col min="8" max="10" width="9" customWidth="1"/>
  </cols>
  <sheetData>
    <row r="1" spans="2:7" ht="17.25" thickBot="1">
      <c r="F1" s="42" t="s">
        <v>82</v>
      </c>
      <c r="G1" s="42"/>
    </row>
    <row r="2" spans="2:7" ht="24.75" customHeight="1" thickBot="1">
      <c r="B2" s="2" t="s">
        <v>0</v>
      </c>
      <c r="C2" s="27"/>
      <c r="F2" s="23" t="s">
        <v>81</v>
      </c>
      <c r="G2" s="23" t="s">
        <v>80</v>
      </c>
    </row>
    <row r="3" spans="2:7" ht="24.75" customHeight="1" thickBot="1">
      <c r="B3" s="2" t="s">
        <v>1</v>
      </c>
      <c r="C3" s="27"/>
      <c r="D3" s="30"/>
      <c r="E3" s="31"/>
      <c r="F3" s="24" t="s">
        <v>76</v>
      </c>
      <c r="G3" s="24">
        <v>12</v>
      </c>
    </row>
    <row r="4" spans="2:7" ht="24.75" customHeight="1" thickBot="1">
      <c r="B4" s="2" t="s">
        <v>2</v>
      </c>
      <c r="C4" s="27"/>
      <c r="D4" s="34"/>
      <c r="E4" s="26"/>
      <c r="F4" s="24" t="s">
        <v>77</v>
      </c>
      <c r="G4" s="24">
        <v>10</v>
      </c>
    </row>
    <row r="5" spans="2:7" ht="24.75" customHeight="1" thickBot="1">
      <c r="B5" s="2" t="s">
        <v>3</v>
      </c>
      <c r="C5" s="27"/>
      <c r="D5" s="34"/>
      <c r="E5" s="35"/>
      <c r="F5" s="32" t="s">
        <v>95</v>
      </c>
      <c r="G5" s="24">
        <v>10</v>
      </c>
    </row>
    <row r="6" spans="2:7" ht="24.75" customHeight="1" thickBot="1">
      <c r="B6" s="2" t="s">
        <v>5</v>
      </c>
      <c r="C6" s="27"/>
      <c r="D6" s="30"/>
      <c r="E6" s="37"/>
      <c r="F6" s="24" t="s">
        <v>78</v>
      </c>
      <c r="G6" s="24">
        <v>10</v>
      </c>
    </row>
    <row r="7" spans="2:7" ht="24.75" customHeight="1" thickBot="1">
      <c r="B7" s="2" t="s">
        <v>6</v>
      </c>
      <c r="C7" s="3"/>
      <c r="F7" s="24" t="s">
        <v>79</v>
      </c>
      <c r="G7" s="24">
        <v>12</v>
      </c>
    </row>
    <row r="8" spans="2:7" ht="20.25" thickBot="1">
      <c r="B8" s="2" t="s">
        <v>4</v>
      </c>
      <c r="C8" s="27"/>
      <c r="F8" s="29" t="s">
        <v>90</v>
      </c>
      <c r="G8" s="29">
        <v>12</v>
      </c>
    </row>
    <row r="9" spans="2:7" ht="33.75" thickBot="1">
      <c r="C9" s="36"/>
      <c r="F9" s="32" t="s">
        <v>91</v>
      </c>
      <c r="G9" s="29">
        <v>12</v>
      </c>
    </row>
    <row r="10" spans="2:7" ht="33.75" thickBot="1">
      <c r="B10" s="41" t="s">
        <v>73</v>
      </c>
      <c r="C10" s="41"/>
      <c r="D10" s="4"/>
      <c r="F10" s="32" t="s">
        <v>92</v>
      </c>
      <c r="G10" s="29">
        <v>12</v>
      </c>
    </row>
    <row r="11" spans="2:7" ht="27" thickTop="1" thickBot="1">
      <c r="B11" s="5" t="s">
        <v>8</v>
      </c>
      <c r="C11" s="16">
        <v>55</v>
      </c>
      <c r="F11" s="24"/>
      <c r="G11" s="24"/>
    </row>
    <row r="12" spans="2:7" ht="21" thickTop="1" thickBot="1">
      <c r="B12" s="39" t="s">
        <v>7</v>
      </c>
      <c r="C12" s="40"/>
      <c r="F12" s="24"/>
      <c r="G12" s="24"/>
    </row>
    <row r="13" spans="2:7" ht="17.25" thickBot="1">
      <c r="F13" s="24"/>
      <c r="G13" s="24"/>
    </row>
    <row r="14" spans="2:7" ht="21.75" thickBot="1">
      <c r="B14" s="19" t="s">
        <v>94</v>
      </c>
      <c r="C14" s="33">
        <v>30</v>
      </c>
      <c r="F14" s="24"/>
      <c r="G14" s="24"/>
    </row>
    <row r="15" spans="2:7" ht="21.75" thickBot="1">
      <c r="B15" s="19" t="s">
        <v>83</v>
      </c>
      <c r="C15" s="20">
        <v>0.05</v>
      </c>
      <c r="F15" s="24"/>
      <c r="G15" s="24"/>
    </row>
    <row r="16" spans="2:7" ht="21.75" thickBot="1">
      <c r="B16" s="19" t="s">
        <v>84</v>
      </c>
      <c r="C16" s="20">
        <v>0.05</v>
      </c>
      <c r="F16" s="24"/>
      <c r="G16" s="24"/>
    </row>
    <row r="18" spans="3:5" ht="19.5">
      <c r="C18" s="21"/>
      <c r="D18"/>
      <c r="E18" s="1"/>
    </row>
    <row r="19" spans="3:5" ht="19.5">
      <c r="C19" s="22"/>
      <c r="D19"/>
      <c r="E19" s="1"/>
    </row>
    <row r="21" spans="3:5">
      <c r="C21" s="1"/>
    </row>
    <row r="81" spans="2:4">
      <c r="B81" s="38"/>
      <c r="C81" s="38"/>
      <c r="D81" s="38"/>
    </row>
    <row r="82" spans="2:4">
      <c r="B82" s="38"/>
      <c r="C82" s="38"/>
      <c r="D82" s="38"/>
    </row>
    <row r="86" spans="2:4" hidden="1">
      <c r="B86" s="6" t="s">
        <v>9</v>
      </c>
    </row>
    <row r="87" spans="2:4" hidden="1"/>
    <row r="88" spans="2:4" hidden="1">
      <c r="B88" s="6" t="s">
        <v>10</v>
      </c>
    </row>
    <row r="89" spans="2:4" hidden="1"/>
    <row r="90" spans="2:4" hidden="1"/>
    <row r="91" spans="2:4" hidden="1"/>
    <row r="92" spans="2:4" ht="17.25" hidden="1">
      <c r="B92" s="7" t="s">
        <v>11</v>
      </c>
    </row>
    <row r="93" spans="2:4" hidden="1"/>
    <row r="94" spans="2:4" hidden="1">
      <c r="B94" s="6" t="s">
        <v>12</v>
      </c>
    </row>
    <row r="95" spans="2:4" hidden="1">
      <c r="B95" s="8"/>
    </row>
    <row r="96" spans="2:4" hidden="1">
      <c r="B96" s="10" t="s">
        <v>13</v>
      </c>
    </row>
    <row r="97" spans="2:2" hidden="1">
      <c r="B97" s="8"/>
    </row>
    <row r="98" spans="2:2" hidden="1">
      <c r="B98" s="10" t="s">
        <v>14</v>
      </c>
    </row>
    <row r="99" spans="2:2" hidden="1">
      <c r="B99" s="8"/>
    </row>
    <row r="100" spans="2:2" hidden="1">
      <c r="B100" s="10" t="s">
        <v>15</v>
      </c>
    </row>
    <row r="101" spans="2:2" hidden="1"/>
    <row r="102" spans="2:2" ht="17.25" hidden="1">
      <c r="B102" s="7" t="s">
        <v>16</v>
      </c>
    </row>
    <row r="103" spans="2:2" hidden="1"/>
    <row r="104" spans="2:2" hidden="1">
      <c r="B104" s="6" t="s">
        <v>17</v>
      </c>
    </row>
    <row r="105" spans="2:2" hidden="1">
      <c r="B105" s="8"/>
    </row>
    <row r="106" spans="2:2" hidden="1">
      <c r="B106" s="10" t="s">
        <v>18</v>
      </c>
    </row>
    <row r="107" spans="2:2" hidden="1">
      <c r="B107" s="8"/>
    </row>
    <row r="108" spans="2:2" hidden="1">
      <c r="B108" s="11"/>
    </row>
    <row r="109" spans="2:2" hidden="1">
      <c r="B109" s="13" t="s">
        <v>19</v>
      </c>
    </row>
    <row r="110" spans="2:2" hidden="1">
      <c r="B110" s="12"/>
    </row>
    <row r="111" spans="2:2" hidden="1">
      <c r="B111" s="13" t="s">
        <v>20</v>
      </c>
    </row>
    <row r="112" spans="2:2" hidden="1">
      <c r="B112" s="8"/>
    </row>
    <row r="113" spans="2:2" hidden="1">
      <c r="B113" s="10" t="s">
        <v>21</v>
      </c>
    </row>
    <row r="114" spans="2:2" hidden="1">
      <c r="B114" s="8"/>
    </row>
    <row r="115" spans="2:2" hidden="1">
      <c r="B115" s="11"/>
    </row>
    <row r="116" spans="2:2" hidden="1">
      <c r="B116" s="13" t="s">
        <v>22</v>
      </c>
    </row>
    <row r="117" spans="2:2" hidden="1">
      <c r="B117" s="12"/>
    </row>
    <row r="118" spans="2:2" hidden="1">
      <c r="B118" s="13" t="s">
        <v>23</v>
      </c>
    </row>
    <row r="119" spans="2:2" hidden="1"/>
    <row r="120" spans="2:2" ht="17.25" hidden="1">
      <c r="B120" s="7" t="s">
        <v>24</v>
      </c>
    </row>
    <row r="121" spans="2:2" hidden="1"/>
    <row r="122" spans="2:2" hidden="1">
      <c r="B122" s="6" t="s">
        <v>25</v>
      </c>
    </row>
    <row r="123" spans="2:2" hidden="1">
      <c r="B123" s="8"/>
    </row>
    <row r="124" spans="2:2" hidden="1">
      <c r="B124" s="10" t="s">
        <v>26</v>
      </c>
    </row>
    <row r="125" spans="2:2" hidden="1">
      <c r="B125" s="8"/>
    </row>
    <row r="126" spans="2:2" hidden="1">
      <c r="B126" s="10" t="s">
        <v>27</v>
      </c>
    </row>
    <row r="127" spans="2:2" hidden="1"/>
    <row r="128" spans="2:2" hidden="1"/>
    <row r="129" spans="2:3" hidden="1"/>
    <row r="130" spans="2:3" ht="17.25" hidden="1">
      <c r="B130" s="7" t="s">
        <v>28</v>
      </c>
    </row>
    <row r="131" spans="2:3" hidden="1"/>
    <row r="132" spans="2:3" hidden="1">
      <c r="B132" s="6" t="s">
        <v>29</v>
      </c>
    </row>
    <row r="133" spans="2:3" hidden="1">
      <c r="B133" s="8"/>
    </row>
    <row r="134" spans="2:3" hidden="1">
      <c r="B134" s="10" t="s">
        <v>30</v>
      </c>
    </row>
    <row r="135" spans="2:3" hidden="1">
      <c r="B135" s="8"/>
    </row>
    <row r="136" spans="2:3" hidden="1">
      <c r="B136" s="10" t="s">
        <v>31</v>
      </c>
    </row>
    <row r="137" spans="2:3" hidden="1"/>
    <row r="138" spans="2:3" hidden="1"/>
    <row r="139" spans="2:3" hidden="1"/>
    <row r="140" spans="2:3" ht="17.25" hidden="1">
      <c r="B140" s="7" t="s">
        <v>32</v>
      </c>
    </row>
    <row r="141" spans="2:3" ht="17.25" hidden="1" thickBot="1"/>
    <row r="142" spans="2:3" ht="17.25" hidden="1" thickBot="1">
      <c r="B142" s="14" t="s">
        <v>33</v>
      </c>
      <c r="C142" s="14" t="s">
        <v>34</v>
      </c>
    </row>
    <row r="143" spans="2:3" ht="17.25" hidden="1" thickBot="1">
      <c r="B143" s="14" t="s">
        <v>35</v>
      </c>
      <c r="C143" s="14" t="s">
        <v>36</v>
      </c>
    </row>
    <row r="144" spans="2:3" ht="30.75" hidden="1" thickBot="1">
      <c r="B144" s="14" t="s">
        <v>37</v>
      </c>
      <c r="C144" s="15" t="s">
        <v>38</v>
      </c>
    </row>
    <row r="145" spans="2:3" ht="31.5" hidden="1" thickBot="1">
      <c r="B145" s="14" t="s">
        <v>39</v>
      </c>
      <c r="C145" s="14" t="s">
        <v>40</v>
      </c>
    </row>
    <row r="146" spans="2:3" hidden="1"/>
    <row r="147" spans="2:3" hidden="1"/>
    <row r="148" spans="2:3" ht="17.25" hidden="1">
      <c r="B148" s="7" t="s">
        <v>41</v>
      </c>
    </row>
    <row r="149" spans="2:3" hidden="1"/>
    <row r="150" spans="2:3" hidden="1">
      <c r="B150" s="6" t="s">
        <v>42</v>
      </c>
    </row>
    <row r="151" spans="2:3" hidden="1">
      <c r="B151" s="8"/>
    </row>
    <row r="152" spans="2:3" hidden="1">
      <c r="B152" s="10" t="s">
        <v>43</v>
      </c>
    </row>
    <row r="153" spans="2:3" hidden="1">
      <c r="B153" s="8"/>
    </row>
    <row r="154" spans="2:3" hidden="1">
      <c r="B154" s="10" t="s">
        <v>44</v>
      </c>
    </row>
    <row r="155" spans="2:3" hidden="1"/>
    <row r="156" spans="2:3" hidden="1">
      <c r="B156" s="9" t="s">
        <v>45</v>
      </c>
    </row>
    <row r="157" spans="2:3" hidden="1"/>
    <row r="158" spans="2:3" hidden="1"/>
    <row r="159" spans="2:3" hidden="1">
      <c r="B159" s="6" t="s">
        <v>46</v>
      </c>
    </row>
    <row r="160" spans="2:3" hidden="1"/>
    <row r="161" spans="2:2" hidden="1">
      <c r="B161" s="6" t="s">
        <v>47</v>
      </c>
    </row>
    <row r="162" spans="2:2" hidden="1"/>
    <row r="163" spans="2:2" ht="17.25" hidden="1">
      <c r="B163" s="7" t="s">
        <v>48</v>
      </c>
    </row>
    <row r="164" spans="2:2" hidden="1"/>
    <row r="165" spans="2:2" hidden="1">
      <c r="B165" s="6" t="s">
        <v>49</v>
      </c>
    </row>
    <row r="166" spans="2:2" hidden="1">
      <c r="B166" s="8"/>
    </row>
    <row r="167" spans="2:2" hidden="1">
      <c r="B167" s="10" t="s">
        <v>50</v>
      </c>
    </row>
    <row r="168" spans="2:2" hidden="1">
      <c r="B168" s="8"/>
    </row>
    <row r="169" spans="2:2" hidden="1">
      <c r="B169" s="10" t="s">
        <v>51</v>
      </c>
    </row>
    <row r="170" spans="2:2" hidden="1"/>
    <row r="171" spans="2:2" ht="17.25" hidden="1">
      <c r="B171" s="7" t="s">
        <v>52</v>
      </c>
    </row>
    <row r="172" spans="2:2" hidden="1"/>
    <row r="173" spans="2:2" hidden="1">
      <c r="B173" s="6" t="s">
        <v>53</v>
      </c>
    </row>
    <row r="174" spans="2:2" hidden="1">
      <c r="B174" s="8"/>
    </row>
    <row r="175" spans="2:2" hidden="1">
      <c r="B175" s="10" t="s">
        <v>54</v>
      </c>
    </row>
    <row r="176" spans="2:2" hidden="1">
      <c r="B176" s="8"/>
    </row>
    <row r="177" spans="2:2" hidden="1">
      <c r="B177" s="10" t="s">
        <v>55</v>
      </c>
    </row>
    <row r="178" spans="2:2" hidden="1">
      <c r="B178" s="8"/>
    </row>
    <row r="179" spans="2:2" hidden="1">
      <c r="B179" s="10" t="s">
        <v>56</v>
      </c>
    </row>
    <row r="180" spans="2:2" hidden="1"/>
    <row r="181" spans="2:2" ht="17.25" hidden="1">
      <c r="B181" s="7" t="s">
        <v>57</v>
      </c>
    </row>
    <row r="182" spans="2:2" hidden="1"/>
    <row r="183" spans="2:2" hidden="1">
      <c r="B183" s="6" t="s">
        <v>58</v>
      </c>
    </row>
    <row r="184" spans="2:2" hidden="1">
      <c r="B184" s="8"/>
    </row>
    <row r="185" spans="2:2" hidden="1">
      <c r="B185" s="10" t="s">
        <v>59</v>
      </c>
    </row>
    <row r="186" spans="2:2" hidden="1">
      <c r="B186" s="8"/>
    </row>
    <row r="187" spans="2:2" hidden="1">
      <c r="B187" s="10" t="s">
        <v>60</v>
      </c>
    </row>
    <row r="188" spans="2:2" hidden="1">
      <c r="B188" s="8"/>
    </row>
    <row r="189" spans="2:2" hidden="1">
      <c r="B189" s="10" t="s">
        <v>61</v>
      </c>
    </row>
    <row r="190" spans="2:2" hidden="1"/>
    <row r="191" spans="2:2" ht="17.25" hidden="1">
      <c r="B191" s="7" t="s">
        <v>62</v>
      </c>
    </row>
    <row r="192" spans="2:2" ht="17.25" hidden="1" thickBot="1"/>
    <row r="193" spans="2:3" ht="17.25" hidden="1" thickBot="1">
      <c r="B193" s="14" t="s">
        <v>63</v>
      </c>
      <c r="C193" s="14" t="s">
        <v>64</v>
      </c>
    </row>
    <row r="194" spans="2:3" ht="30.75" hidden="1" thickBot="1">
      <c r="B194" s="14" t="s">
        <v>65</v>
      </c>
      <c r="C194" s="15" t="s">
        <v>66</v>
      </c>
    </row>
    <row r="195" spans="2:3" ht="30.75" hidden="1" thickBot="1">
      <c r="B195" s="14" t="s">
        <v>67</v>
      </c>
      <c r="C195" s="15" t="s">
        <v>68</v>
      </c>
    </row>
    <row r="196" spans="2:3" ht="32.25" hidden="1" thickBot="1">
      <c r="B196" s="14" t="s">
        <v>69</v>
      </c>
      <c r="C196" s="15" t="s">
        <v>70</v>
      </c>
    </row>
    <row r="197" spans="2:3" hidden="1"/>
    <row r="198" spans="2:3" hidden="1"/>
    <row r="199" spans="2:3">
      <c r="B199" s="17" t="s">
        <v>71</v>
      </c>
      <c r="C199" s="18" t="s">
        <v>72</v>
      </c>
    </row>
    <row r="200" spans="2:3">
      <c r="B200" s="17" t="s">
        <v>74</v>
      </c>
      <c r="C200" s="18" t="s">
        <v>75</v>
      </c>
    </row>
    <row r="201" spans="2:3">
      <c r="C201" t="b">
        <v>1</v>
      </c>
    </row>
    <row r="202" spans="2:3">
      <c r="C202" t="b">
        <v>1</v>
      </c>
    </row>
    <row r="204" spans="2:3">
      <c r="B204">
        <v>20260328</v>
      </c>
      <c r="C204" t="s">
        <v>85</v>
      </c>
    </row>
    <row r="205" spans="2:3">
      <c r="B205">
        <v>20260329</v>
      </c>
      <c r="C205" t="s">
        <v>86</v>
      </c>
    </row>
    <row r="206" spans="2:3">
      <c r="B206">
        <v>20260330</v>
      </c>
      <c r="C206" t="s">
        <v>87</v>
      </c>
    </row>
    <row r="209" spans="2:3">
      <c r="B209">
        <v>20260412</v>
      </c>
      <c r="C209" t="s">
        <v>88</v>
      </c>
    </row>
    <row r="210" spans="2:3">
      <c r="B210">
        <v>20260414</v>
      </c>
      <c r="C210" t="s">
        <v>89</v>
      </c>
    </row>
    <row r="211" spans="2:3">
      <c r="B211">
        <v>20260514</v>
      </c>
      <c r="C211" t="s">
        <v>93</v>
      </c>
    </row>
    <row r="212" spans="2:3">
      <c r="B212">
        <v>20260604</v>
      </c>
      <c r="C212" t="s">
        <v>96</v>
      </c>
    </row>
    <row r="213" spans="2:3">
      <c r="B213">
        <v>20260610</v>
      </c>
      <c r="C213" t="s">
        <v>97</v>
      </c>
    </row>
    <row r="214" spans="2:3">
      <c r="B214" s="43" t="s">
        <v>98</v>
      </c>
      <c r="C214" t="s">
        <v>99</v>
      </c>
    </row>
    <row r="215" spans="2:3">
      <c r="B215">
        <v>20280701</v>
      </c>
      <c r="C215" t="s">
        <v>100</v>
      </c>
    </row>
  </sheetData>
  <mergeCells count="5">
    <mergeCell ref="B81:D81"/>
    <mergeCell ref="B82:D82"/>
    <mergeCell ref="B12:C12"/>
    <mergeCell ref="B10:C10"/>
    <mergeCell ref="F1:G1"/>
  </mergeCells>
  <phoneticPr fontId="1" type="noConversion"/>
  <dataValidations count="3">
    <dataValidation type="list" allowBlank="1" showInputMessage="1" showErrorMessage="1" sqref="C15:C16">
      <formula1>"2%,5%,8%,10%,15%,20%"</formula1>
    </dataValidation>
    <dataValidation type="list" allowBlank="1" showInputMessage="1" showErrorMessage="1" sqref="C11">
      <formula1>"50,55,60,64"</formula1>
    </dataValidation>
    <dataValidation type="list" allowBlank="1" showInputMessage="1" showErrorMessage="1" sqref="C14">
      <formula1>"7,14,27,30,45,60,90"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6" r:id="rId4" name="CheckBox2">
          <controlPr defaultSize="0" autoLine="0" linkedCell="C202" r:id="rId5">
            <anchor moveWithCells="1">
              <from>
                <xdr:col>2</xdr:col>
                <xdr:colOff>76200</xdr:colOff>
                <xdr:row>17</xdr:row>
                <xdr:rowOff>0</xdr:rowOff>
              </from>
              <to>
                <xdr:col>2</xdr:col>
                <xdr:colOff>1485900</xdr:colOff>
                <xdr:row>18</xdr:row>
                <xdr:rowOff>9525</xdr:rowOff>
              </to>
            </anchor>
          </controlPr>
        </control>
      </mc:Choice>
      <mc:Fallback>
        <control shapeId="1036" r:id="rId4" name="CheckBox2"/>
      </mc:Fallback>
    </mc:AlternateContent>
    <mc:AlternateContent xmlns:mc="http://schemas.openxmlformats.org/markup-compatibility/2006">
      <mc:Choice Requires="x14">
        <control shapeId="1035" r:id="rId6" name="CheckBox1">
          <controlPr defaultSize="0" autoLine="0" linkedCell="C201" r:id="rId7">
            <anchor moveWithCells="1">
              <from>
                <xdr:col>1</xdr:col>
                <xdr:colOff>38100</xdr:colOff>
                <xdr:row>17</xdr:row>
                <xdr:rowOff>9525</xdr:rowOff>
              </from>
              <to>
                <xdr:col>1</xdr:col>
                <xdr:colOff>1447800</xdr:colOff>
                <xdr:row>18</xdr:row>
                <xdr:rowOff>19050</xdr:rowOff>
              </to>
            </anchor>
          </controlPr>
        </control>
      </mc:Choice>
      <mc:Fallback>
        <control shapeId="1035" r:id="rId6" name="Check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B2"/>
  <sheetViews>
    <sheetView workbookViewId="0">
      <selection activeCell="D24" sqref="D24"/>
    </sheetView>
  </sheetViews>
  <sheetFormatPr defaultRowHeight="16.5"/>
  <cols>
    <col min="2" max="2" width="24.875" customWidth="1"/>
    <col min="4" max="4" width="25.625" customWidth="1"/>
  </cols>
  <sheetData>
    <row r="1" spans="2:2">
      <c r="B1" s="28"/>
    </row>
    <row r="2" spans="2:2">
      <c r="B2" s="28"/>
    </row>
  </sheetData>
  <phoneticPr fontId="1" type="noConversion"/>
  <pageMargins left="0.7" right="0.7" top="0.75" bottom="0.75" header="0.3" footer="0.3"/>
  <pageSetup paperSize="9" orientation="portrait" r:id="rId1"/>
</worksheet>
</file>

<file path=customUI/_rels/customUI14.xml.rels><?xml version="1.0" encoding="UTF-8" standalone="yes"?>
<Relationships xmlns="http://schemas.openxmlformats.org/package/2006/relationships"><Relationship Id="pdf-file" Type="http://schemas.openxmlformats.org/officeDocument/2006/relationships/image" Target="images/pdf-file.png"/><Relationship Id="five1" Type="http://schemas.openxmlformats.org/officeDocument/2006/relationships/image" Target="images/five1.png"/><Relationship Id="six1" Type="http://schemas.openxmlformats.org/officeDocument/2006/relationships/image" Target="images/six1.png"/><Relationship Id="cal" Type="http://schemas.openxmlformats.org/officeDocument/2006/relationships/image" Target="images/cal.png"/><Relationship Id="limited" Type="http://schemas.openxmlformats.org/officeDocument/2006/relationships/image" Target="images/limited.png"/><Relationship Id="upload" Type="http://schemas.openxmlformats.org/officeDocument/2006/relationships/image" Target="images/upload.png"/><Relationship Id="clear" Type="http://schemas.openxmlformats.org/officeDocument/2006/relationships/image" Target="images/clear.png"/><Relationship Id="one" Type="http://schemas.openxmlformats.org/officeDocument/2006/relationships/image" Target="images/one.png"/><Relationship Id="four1" Type="http://schemas.openxmlformats.org/officeDocument/2006/relationships/image" Target="images/four1.png"/><Relationship Id="two" Type="http://schemas.openxmlformats.org/officeDocument/2006/relationships/image" Target="images/two.png"/><Relationship Id="three1" Type="http://schemas.openxmlformats.org/officeDocument/2006/relationships/image" Target="images/three1.png"/><Relationship Id="report" Type="http://schemas.openxmlformats.org/officeDocument/2006/relationships/image" Target="images/report.png"/><Relationship Id="All" Type="http://schemas.openxmlformats.org/officeDocument/2006/relationships/image" Target="images/All.png"/></Relationships>
</file>

<file path=customUI/customUI14.xml><?xml version="1.0" encoding="utf-8"?>
<customUI xmlns="http://schemas.microsoft.com/office/2009/07/customui" onLoad="Ribbon_OnLoad">
  <ribbon>
    <tabs>
      <tab id="MyNewTab" label="日正出貨分板" keytip="z">
        <group id="GroupData" label="　📋 Step By Step　">
          <button id="btnStart" label="開啟產品主檔" image="one" size="large" onAction="Step1A_SelectProductMaster"/>
          <button id="btnOpenOrder" label="開啟訂單主檔" image="two" size="large" onAction="Step1B_SelectOrderFile"/>
          <button id="creatDate" label="產出訂單基本資料" image="three1" size="large" onAction="Creat_Ob"/>
          <button id="creatResult" label="完成排板詳細資料" image="four1" size="large" onAction="Step2_BuildFinalPalletList"/>
          <button id="creatPDF" label="產出棧板報表明細" image="five1" size="large" onAction="Creat_Pallet"/>
          <button id="creatOrder" label="產出訂單棧板明細" image="six1" size="large" onAction="Main_GenerateReports"/>
          <button id="ReportPDF" label="完成撿貨PDF" image="pdf-file" size="large" onAction="Creat_PDF"/>
        </group>
        <group id="sep_group3" label=" ｜ "/>
        <group id="clearShet" label="　🧹 Clear Data　">
          <button id="btnClear" label="清除舊有資料" image="clear" size="large" onAction="clear_Sheet"/>
        </group>
        <group id="ca" label="　⚙️ Two Step　">
          <button id="btnca" label="完成排板(手動)" image="cal" size="large" onAction="Calculation"/>
          <button id="btnre" label="完成撿貨PDF" image="report" size="large" onAction="Report"/>
        </group>
        <group id="All_p" label="　🚀 One Step　">
          <button id="btnAll" label="一鍵完成報表" image="All" size="large" onAction="Do_All"/>
        </group>
        <group id="upload" label="  Upload　">
          <button id="btn_upload" label="上傳雲端" image="upload" size="large" onAction="Upload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工作表1</vt:lpstr>
      <vt:lpstr>_SYS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使用者</dc:creator>
  <cp:lastModifiedBy>Windows 使用者</cp:lastModifiedBy>
  <cp:lastPrinted>2026-05-24T01:50:38Z</cp:lastPrinted>
  <dcterms:created xsi:type="dcterms:W3CDTF">2025-12-13T13:08:39Z</dcterms:created>
  <dcterms:modified xsi:type="dcterms:W3CDTF">2026-07-02T02:11:13Z</dcterms:modified>
</cp:coreProperties>
</file>