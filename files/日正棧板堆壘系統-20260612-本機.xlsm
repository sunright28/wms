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hung20260621\20260612\"/>
    </mc:Choice>
  </mc:AlternateContent>
  <bookViews>
    <workbookView xWindow="0" yWindow="0" windowWidth="23040" windowHeight="8355" tabRatio="867"/>
  </bookViews>
  <sheets>
    <sheet name="工作表1" sheetId="1" r:id="rId1"/>
    <sheet name="_SYS" sheetId="2" state="hidden" r:id="rId2"/>
    <sheet name="OrderBase" sheetId="3" r:id="rId3"/>
    <sheet name="OrderBase-1" sheetId="4" r:id="rId4"/>
    <sheet name="PalletPickList" sheetId="5" r:id="rId5"/>
    <sheet name="Upload_Buffer" sheetId="6" r:id="rId6"/>
    <sheet name="PDF_Pallets_All_P1" sheetId="11" r:id="rId7"/>
    <sheet name="PDF_Pallets_All_P2" sheetId="12" r:id="rId8"/>
  </sheets>
  <functionGroups builtInGroupCount="18"/>
  <definedNames>
    <definedName name="OrderFileName">"家樂福20260113.xlsx"</definedName>
    <definedName name="SelectedSheetName">"家大園"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8" i="5" l="1"/>
  <c r="T8" i="5"/>
  <c r="V8" i="5" s="1"/>
  <c r="S8" i="5"/>
  <c r="U7" i="5"/>
  <c r="T7" i="5"/>
  <c r="V7" i="5" s="1"/>
  <c r="S7" i="5"/>
  <c r="U6" i="5"/>
  <c r="T6" i="5"/>
  <c r="V6" i="5" s="1"/>
  <c r="S6" i="5"/>
  <c r="U5" i="5"/>
  <c r="T5" i="5"/>
  <c r="V5" i="5" s="1"/>
  <c r="S5" i="5"/>
  <c r="U4" i="5"/>
  <c r="T4" i="5"/>
  <c r="V4" i="5" s="1"/>
  <c r="S4" i="5"/>
  <c r="U3" i="5"/>
  <c r="T3" i="5"/>
  <c r="V3" i="5" s="1"/>
  <c r="S3" i="5"/>
  <c r="U2" i="5"/>
  <c r="T2" i="5"/>
  <c r="V2" i="5" s="1"/>
  <c r="S2" i="5"/>
</calcChain>
</file>

<file path=xl/sharedStrings.xml><?xml version="1.0" encoding="utf-8"?>
<sst xmlns="http://schemas.openxmlformats.org/spreadsheetml/2006/main" count="991" uniqueCount="334">
  <si>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</si>
  <si>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</si>
  <si>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</si>
  <si>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</si>
  <si>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</si>
  <si>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</si>
  <si>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</si>
  <si>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</si>
  <si>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</si>
  <si>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</si>
  <si>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</si>
  <si>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</si>
  <si>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</si>
  <si>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</si>
  <si>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</si>
  <si>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</si>
  <si>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</si>
  <si>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</si>
  <si>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</si>
  <si>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</si>
  <si>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</si>
  <si>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</si>
  <si>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</si>
  <si>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</si>
  <si>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</si>
  <si>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</si>
  <si>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</si>
  <si>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</si>
  <si>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</si>
  <si>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</si>
  <si>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</si>
  <si>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</si>
  <si>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</si>
  <si>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</si>
  <si>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</si>
  <si>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</si>
  <si>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</si>
  <si>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</si>
  <si>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</si>
  <si>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</si>
  <si>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</si>
  <si>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</si>
  <si>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</si>
  <si>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</si>
  <si>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</si>
  <si>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</si>
  <si>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</si>
  <si>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</si>
  <si>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</si>
  <si>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</si>
  <si>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</si>
  <si>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</si>
  <si>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</si>
  <si>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</si>
  <si>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</si>
  <si>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</si>
  <si>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</si>
  <si>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</si>
  <si>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</si>
  <si>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</si>
  <si>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</si>
  <si>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</si>
  <si>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</si>
  <si>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</si>
  <si>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</si>
  <si>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</si>
  <si>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</si>
  <si>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</si>
  <si>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</si>
  <si>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</si>
  <si>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</si>
  <si>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</si>
  <si>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</si>
  <si>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</si>
  <si>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</si>
  <si>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</si>
  <si>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</si>
  <si>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</si>
  <si>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</si>
  <si>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</si>
  <si>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</si>
  <si>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</si>
  <si>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</si>
  <si>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</si>
  <si>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</si>
  <si>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</si>
  <si>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</si>
  <si>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</si>
  <si>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</si>
  <si>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</si>
  <si>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</si>
  <si>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</si>
  <si>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</si>
  <si>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</si>
  <si>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</si>
  <si>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</si>
  <si>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D:\hung20260621\20260612\出貨板數材積計算-1150505.xls</t>
  </si>
  <si>
    <t>出貨板數材積計算-1150505.xls</t>
  </si>
  <si>
    <t>產品主檔：出貨板數材積計算-1150505.xls</t>
  </si>
  <si>
    <t>D:\hung20260621\20260612\宜蘭所0611-T7031.xlsx</t>
  </si>
  <si>
    <t>訂單檔案：宜蘭所0611-T7031.xlsx</t>
  </si>
  <si>
    <t>訂單數量總計：</t>
  </si>
  <si>
    <t>出貨廠商：</t>
  </si>
  <si>
    <t>宜蘭所</t>
  </si>
  <si>
    <t>出貨日期：</t>
  </si>
  <si>
    <t>0611</t>
  </si>
  <si>
    <t>工作表1</t>
  </si>
  <si>
    <t>宜蘭所0611-T7031.xlsx</t>
    <phoneticPr fontId="1" type="noConversion"/>
  </si>
  <si>
    <t>流水號</t>
  </si>
  <si>
    <t>原始項次</t>
  </si>
  <si>
    <t>品號</t>
  </si>
  <si>
    <t>品名</t>
  </si>
  <si>
    <t>原始訂單數量</t>
  </si>
  <si>
    <t>出貨單位</t>
  </si>
  <si>
    <t>出貨數量</t>
  </si>
  <si>
    <t>等效箱數</t>
  </si>
  <si>
    <t>總材積</t>
  </si>
  <si>
    <t>總毛重</t>
  </si>
  <si>
    <t>狀態</t>
  </si>
  <si>
    <t>單位重量</t>
  </si>
  <si>
    <t>單位材積</t>
  </si>
  <si>
    <t>每箱數量</t>
  </si>
  <si>
    <t>原始單位</t>
  </si>
  <si>
    <t>每板箱數</t>
  </si>
  <si>
    <t>效期</t>
  </si>
  <si>
    <t>總數量</t>
  </si>
  <si>
    <t>轉換比例</t>
  </si>
  <si>
    <t>撿貨數量</t>
  </si>
  <si>
    <t>件數</t>
  </si>
  <si>
    <t>國際條碼</t>
  </si>
  <si>
    <t>001</t>
  </si>
  <si>
    <t>050023</t>
  </si>
  <si>
    <t>(夾)雪晶冰糖1Kg</t>
  </si>
  <si>
    <t>箱</t>
  </si>
  <si>
    <t>OK</t>
  </si>
  <si>
    <t>包</t>
  </si>
  <si>
    <t>4箱</t>
  </si>
  <si>
    <t>4710943120524</t>
  </si>
  <si>
    <t>002</t>
  </si>
  <si>
    <t>300048</t>
  </si>
  <si>
    <t>青-十八穀1.2kg</t>
  </si>
  <si>
    <t>6箱</t>
  </si>
  <si>
    <t>4710943300483</t>
  </si>
  <si>
    <t>003</t>
  </si>
  <si>
    <t>050030</t>
  </si>
  <si>
    <t>手工冰糖300g</t>
  </si>
  <si>
    <t>12箱</t>
  </si>
  <si>
    <t>4710943100076</t>
  </si>
  <si>
    <t>004</t>
  </si>
  <si>
    <t>050031</t>
  </si>
  <si>
    <t>雪晶冰糖400g</t>
  </si>
  <si>
    <t>4710943100090</t>
  </si>
  <si>
    <t>005</t>
  </si>
  <si>
    <t>190074</t>
  </si>
  <si>
    <t>卡啦脆酥粉500g</t>
  </si>
  <si>
    <t>4710943190749</t>
  </si>
  <si>
    <t>006</t>
  </si>
  <si>
    <t>190003</t>
  </si>
  <si>
    <t>起司脆酥粉500g</t>
  </si>
  <si>
    <t>4710943101394</t>
  </si>
  <si>
    <t>007</t>
  </si>
  <si>
    <t>090022</t>
  </si>
  <si>
    <t>鑫-高筋麵粉400g</t>
  </si>
  <si>
    <t>1箱</t>
  </si>
  <si>
    <t>4710943243001</t>
  </si>
  <si>
    <t>008</t>
  </si>
  <si>
    <t>580006</t>
  </si>
  <si>
    <t>3公斤炊粉-片狀</t>
  </si>
  <si>
    <t>16箱</t>
  </si>
  <si>
    <t>4710943109529</t>
  </si>
  <si>
    <t>009</t>
  </si>
  <si>
    <t>270028</t>
  </si>
  <si>
    <t>油蔥酥120g</t>
  </si>
  <si>
    <t>15箱</t>
  </si>
  <si>
    <t>4710943101165</t>
  </si>
  <si>
    <t>010</t>
  </si>
  <si>
    <t>130093</t>
  </si>
  <si>
    <t>日式厚燒鬆餅粉240g</t>
  </si>
  <si>
    <t>盒</t>
  </si>
  <si>
    <t>2箱</t>
  </si>
  <si>
    <t>4710943130936</t>
  </si>
  <si>
    <t>011</t>
  </si>
  <si>
    <t>220008</t>
  </si>
  <si>
    <t>(包)速發酵母12G</t>
  </si>
  <si>
    <t>3箱</t>
  </si>
  <si>
    <t>4710943220057</t>
  </si>
  <si>
    <t>012</t>
  </si>
  <si>
    <t>500377</t>
  </si>
  <si>
    <t>龍眼蜜700g</t>
  </si>
  <si>
    <t>罐</t>
  </si>
  <si>
    <t>4710943503778</t>
  </si>
  <si>
    <t>013</t>
  </si>
  <si>
    <t>160007</t>
  </si>
  <si>
    <t>日正鮮奶油濃湯粉1000g</t>
  </si>
  <si>
    <t>4710943160070</t>
  </si>
  <si>
    <t>014</t>
  </si>
  <si>
    <t>190059</t>
  </si>
  <si>
    <t>劉師傅-起司脆酥粉1kg</t>
  </si>
  <si>
    <t>4710943190558</t>
  </si>
  <si>
    <t>015</t>
  </si>
  <si>
    <t>140002</t>
  </si>
  <si>
    <t>玉米粉500g</t>
  </si>
  <si>
    <t>24箱</t>
  </si>
  <si>
    <t>4710943100847</t>
  </si>
  <si>
    <t>016</t>
  </si>
  <si>
    <t>340172</t>
  </si>
  <si>
    <t>綠晶粉絲480g</t>
  </si>
  <si>
    <t>70箱</t>
  </si>
  <si>
    <t>4710943101318</t>
  </si>
  <si>
    <t>017</t>
  </si>
  <si>
    <t>340226</t>
  </si>
  <si>
    <t>旺萊粉絲350g-MIT</t>
  </si>
  <si>
    <t>48箱</t>
  </si>
  <si>
    <t>4710943109383</t>
  </si>
  <si>
    <t>018</t>
  </si>
  <si>
    <t>320148</t>
  </si>
  <si>
    <t>豐之穀-綠豆200g</t>
  </si>
  <si>
    <t>10箱</t>
  </si>
  <si>
    <t>4710943321488</t>
  </si>
  <si>
    <t>No.</t>
  </si>
  <si>
    <t>項次</t>
  </si>
  <si>
    <t>訂單數量</t>
  </si>
  <si>
    <t>庫存數量</t>
  </si>
  <si>
    <t>換算比例</t>
  </si>
  <si>
    <t>備註</t>
  </si>
  <si>
    <t>訂單分板資料已建立OrderBase-1。</t>
  </si>
  <si>
    <t>棧板編號</t>
  </si>
  <si>
    <t>單位</t>
  </si>
  <si>
    <t>本列材積</t>
  </si>
  <si>
    <t>本列重量</t>
  </si>
  <si>
    <t>單箱重量</t>
  </si>
  <si>
    <t>單箱材積</t>
  </si>
  <si>
    <t>備註1</t>
  </si>
  <si>
    <t>排序</t>
  </si>
  <si>
    <t>訂單單位</t>
  </si>
  <si>
    <t>整板數量</t>
  </si>
  <si>
    <t>項數</t>
  </si>
  <si>
    <t>總重量</t>
  </si>
  <si>
    <t>容積比</t>
  </si>
  <si>
    <t>整板</t>
  </si>
  <si>
    <t>-豐之穀</t>
  </si>
  <si>
    <t>-劉師傅</t>
  </si>
  <si>
    <t>-青</t>
  </si>
  <si>
    <t>-鑫</t>
  </si>
  <si>
    <t>散貨混板</t>
  </si>
  <si>
    <t>預備板</t>
  </si>
  <si>
    <t>系列名稱</t>
  </si>
  <si>
    <t>建議板數</t>
  </si>
  <si>
    <t>鑫</t>
  </si>
  <si>
    <t>劉師傅</t>
  </si>
  <si>
    <t>青</t>
  </si>
  <si>
    <t>豐之穀</t>
  </si>
  <si>
    <t>散貨/非系列</t>
  </si>
  <si>
    <t>棧板詳細資料已建立 PalletPickList。</t>
  </si>
  <si>
    <t>棧板號</t>
  </si>
  <si>
    <t>利用率</t>
  </si>
  <si>
    <t>總件數</t>
  </si>
  <si>
    <t>檢貨數量文字</t>
  </si>
  <si>
    <t>訂單數量文字</t>
  </si>
  <si>
    <t>重_箱</t>
  </si>
  <si>
    <t>拆分純數字數量</t>
  </si>
  <si>
    <t>出貨廠商</t>
  </si>
  <si>
    <t>出貨日期</t>
  </si>
  <si>
    <t>商品條碼</t>
  </si>
  <si>
    <t>外箱條碼</t>
  </si>
  <si>
    <t>列印日期: 2026/06/22 11:41</t>
  </si>
  <si>
    <t>R</t>
    <phoneticPr fontId="1" type="noConversion"/>
  </si>
  <si>
    <t>棧板 #1</t>
  </si>
  <si>
    <t>96包</t>
  </si>
  <si>
    <t>2026/06/11</t>
  </si>
  <si>
    <t>14710943109526</t>
  </si>
  <si>
    <t>◻</t>
  </si>
  <si>
    <t>棧板 #2</t>
  </si>
  <si>
    <t>420包</t>
  </si>
  <si>
    <t>14710943101315</t>
  </si>
  <si>
    <t>棧板 #3</t>
  </si>
  <si>
    <t>棧板 #4</t>
  </si>
  <si>
    <t>576包</t>
  </si>
  <si>
    <t>14710943109380</t>
  </si>
  <si>
    <t>棧板 #5</t>
  </si>
  <si>
    <t>48包</t>
  </si>
  <si>
    <t>14710943120521</t>
  </si>
  <si>
    <t>72包</t>
  </si>
  <si>
    <t>14710943190555</t>
  </si>
  <si>
    <t>24包</t>
  </si>
  <si>
    <t>14710943243008</t>
  </si>
  <si>
    <t>288包</t>
  </si>
  <si>
    <t>14710943100073</t>
  </si>
  <si>
    <t>14710943100844</t>
  </si>
  <si>
    <t>24盒</t>
  </si>
  <si>
    <t>14710943130933</t>
  </si>
  <si>
    <t>180包</t>
  </si>
  <si>
    <t>14710943101162</t>
  </si>
  <si>
    <t>棧板 #6</t>
  </si>
  <si>
    <t>14710943300480</t>
  </si>
  <si>
    <t>12罐</t>
  </si>
  <si>
    <t>14710943503775</t>
  </si>
  <si>
    <t>480包</t>
  </si>
  <si>
    <t>24710943321482</t>
  </si>
  <si>
    <t>60包</t>
  </si>
  <si>
    <t>14710943160077</t>
  </si>
  <si>
    <t>144包</t>
  </si>
  <si>
    <t>14710943100097</t>
  </si>
  <si>
    <t>14710943190746</t>
  </si>
  <si>
    <t>14710943101391</t>
  </si>
  <si>
    <t>864包</t>
  </si>
  <si>
    <t>24710943220051</t>
  </si>
  <si>
    <t>棧板PDF分頁與上傳中繼表已同步建立。</t>
  </si>
  <si>
    <t>棧板出貨總量：</t>
    <phoneticPr fontId="1" type="noConversion"/>
  </si>
  <si>
    <t>日正食品撿貨分板計畫</t>
  </si>
  <si>
    <t>棧板#</t>
  </si>
  <si>
    <t>840包</t>
  </si>
  <si>
    <t>訂單名稱：宜蘭所0611-T7031 (共計：19 筆)
說明：本報表依棧板編號排序產出。</t>
  </si>
  <si>
    <t>出貨箱數</t>
  </si>
  <si>
    <t>R</t>
    <phoneticPr fontId="1" type="noConversion"/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</si>
  <si>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2029/02/05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</si>
  <si>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</si>
  <si>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2028/02/11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</si>
  <si>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2027/05/04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</si>
  <si>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2027/04/14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</si>
  <si>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2028/04/12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</si>
  <si>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2027/11/28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</si>
  <si>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2027/05/13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</si>
  <si>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2027/06/02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</si>
  <si>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2027/06/03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</si>
  <si>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2029/03/08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</si>
  <si>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2027/06/07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</si>
  <si>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2027/05/20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</si>
  <si>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2027/11/06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</si>
  <si>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2027/10/21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</si>
  <si>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2027/05/06</t>
    </r>
  </si>
  <si>
    <r>
      <t xml:space="preserve"> </t>
    </r>
    <r>
      <rPr>
        <b/>
        <sz val="14"/>
        <color rgb="FF000000"/>
        <rFont val="新細明體"/>
        <family val="2"/>
        <charset val="136"/>
      </rPr>
      <t>└▶</t>
    </r>
    <r>
      <rPr>
        <b/>
        <sz val="14"/>
        <color rgb="FF000000"/>
        <rFont val="Segoe UI Symbol"/>
        <family val="2"/>
      </rPr>
      <t xml:space="preserve"> </t>
    </r>
    <r>
      <rPr>
        <b/>
        <sz val="14"/>
        <color rgb="FF000000"/>
        <rFont val="新細明體"/>
        <family val="2"/>
        <charset val="136"/>
      </rPr>
      <t>效期：</t>
    </r>
    <r>
      <rPr>
        <b/>
        <sz val="14"/>
        <color rgb="FF000000"/>
        <rFont val="Segoe UI Symbol"/>
        <family val="2"/>
      </rPr>
      <t>2027/10/19</t>
    </r>
  </si>
  <si>
    <t>棧板撿貨報表完成(同品項已歸併)。</t>
  </si>
  <si>
    <t>PDF分板撿貨報表完成。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</si>
</sst>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 "/>
    <numFmt numFmtId="177" formatCode="0.0"/>
    <numFmt numFmtId="178" formatCode="0.000"/>
    <numFmt numFmtId="179" formatCode="0.0%"/>
    <numFmt numFmtId="180" formatCode="yyyy/mm/dd"/>
  </numFmts>
  <fonts count="3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u/>
      <sz val="20"/>
      <color theme="1"/>
      <name val="新細明體"/>
      <family val="1"/>
      <charset val="136"/>
      <scheme val="minor"/>
    </font>
    <font>
      <b/>
      <sz val="24"/>
      <color theme="1"/>
      <name val="Wingdings 2"/>
      <family val="1"/>
      <charset val="2"/>
    </font>
    <font>
      <b/>
      <sz val="14"/>
      <color theme="1"/>
      <name val="新細明體"/>
      <family val="1"/>
      <charset val="136"/>
      <scheme val="minor"/>
    </font>
    <font>
      <sz val="33"/>
      <color theme="1"/>
      <name val="Segoe UI Symbol"/>
      <family val="2"/>
    </font>
    <font>
      <b/>
      <u/>
      <sz val="14"/>
      <color theme="1"/>
      <name val="新細明體"/>
      <family val="1"/>
      <charset val="136"/>
      <scheme val="minor"/>
    </font>
    <font>
      <b/>
      <sz val="16"/>
      <color theme="1"/>
      <name val="微軟正黑體"/>
      <family val="2"/>
      <charset val="136"/>
    </font>
    <font>
      <b/>
      <sz val="14"/>
      <color rgb="FF000000"/>
      <name val="Segoe UI Symbol"/>
      <family val="2"/>
    </font>
    <font>
      <b/>
      <sz val="14"/>
      <color rgb="FF000000"/>
      <name val="新細明體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5F5F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0" fillId="0" borderId="0" xfId="0" applyFont="1">
      <alignment vertical="center"/>
    </xf>
    <xf numFmtId="2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7" borderId="0" xfId="0" applyNumberFormat="1" applyFill="1">
      <alignment vertical="center"/>
    </xf>
    <xf numFmtId="2" fontId="0" fillId="7" borderId="0" xfId="0" applyNumberFormat="1" applyFill="1">
      <alignment vertical="center"/>
    </xf>
    <xf numFmtId="0" fontId="20" fillId="0" borderId="1" xfId="0" applyFont="1" applyBorder="1">
      <alignment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24" fillId="9" borderId="1" xfId="0" applyFont="1" applyFill="1" applyBorder="1">
      <alignment vertical="center"/>
    </xf>
    <xf numFmtId="177" fontId="24" fillId="9" borderId="1" xfId="0" applyNumberFormat="1" applyFont="1" applyFill="1" applyBorder="1">
      <alignment vertical="center"/>
    </xf>
    <xf numFmtId="179" fontId="24" fillId="9" borderId="1" xfId="0" applyNumberFormat="1" applyFont="1" applyFill="1" applyBorder="1">
      <alignment vertical="center"/>
    </xf>
    <xf numFmtId="177" fontId="20" fillId="0" borderId="1" xfId="0" applyNumberFormat="1" applyFont="1" applyBorder="1">
      <alignment vertical="center"/>
    </xf>
    <xf numFmtId="0" fontId="20" fillId="8" borderId="7" xfId="0" applyFont="1" applyFill="1" applyBorder="1" applyAlignment="1">
      <alignment horizontal="center" vertical="center"/>
    </xf>
    <xf numFmtId="177" fontId="0" fillId="7" borderId="0" xfId="0" applyNumberFormat="1" applyFill="1">
      <alignment vertical="center"/>
    </xf>
    <xf numFmtId="1" fontId="0" fillId="7" borderId="0" xfId="0" applyNumberFormat="1" applyFill="1">
      <alignment vertical="center"/>
    </xf>
    <xf numFmtId="0" fontId="20" fillId="0" borderId="0" xfId="0" applyFon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6" fillId="10" borderId="1" xfId="0" applyFont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6" fillId="0" borderId="0" xfId="0" applyFont="1" applyFill="1" applyBorder="1" applyAlignment="1">
      <alignment horizontal="center" vertical="center"/>
    </xf>
    <xf numFmtId="180" fontId="20" fillId="0" borderId="0" xfId="0" applyNumberFormat="1" applyFont="1">
      <alignment vertical="center"/>
    </xf>
    <xf numFmtId="18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vertical="center" wrapText="1"/>
    </xf>
    <xf numFmtId="0" fontId="30" fillId="10" borderId="8" xfId="0" applyFont="1" applyFill="1" applyBorder="1" applyAlignment="1">
      <alignment vertical="center" wrapText="1"/>
    </xf>
    <xf numFmtId="0" fontId="30" fillId="10" borderId="11" xfId="0" applyFont="1" applyFill="1" applyBorder="1" applyAlignment="1">
      <alignment vertical="center" wrapText="1"/>
    </xf>
    <xf numFmtId="0" fontId="30" fillId="10" borderId="12" xfId="0" applyFont="1" applyFill="1" applyBorder="1" applyAlignment="1">
      <alignment vertical="center" wrapText="1"/>
    </xf>
    <xf numFmtId="0" fontId="30" fillId="10" borderId="9" xfId="0" applyFont="1" applyFill="1" applyBorder="1" applyAlignment="1">
      <alignment vertical="center" wrapText="1"/>
    </xf>
    <xf numFmtId="0" fontId="30" fillId="10" borderId="13" xfId="0" applyFont="1" applyFill="1" applyBorder="1" applyAlignment="1">
      <alignment vertical="center" wrapText="1"/>
    </xf>
    <xf numFmtId="0" fontId="29" fillId="11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49" fontId="5" fillId="11" borderId="0" xfId="0" applyNumberFormat="1" applyFont="1" applyFill="1" applyAlignment="1">
      <alignment horizontal="center" vertical="center"/>
    </xf>
    <xf numFmtId="0" fontId="5" fillId="11" borderId="0" xfId="0" applyFont="1" applyFill="1" applyAlignment="1">
      <alignment horizontal="left" vertical="center"/>
    </xf>
    <xf numFmtId="0" fontId="6" fillId="11" borderId="0" xfId="0" applyFont="1" applyFill="1" applyAlignment="1">
      <alignment horizontal="center" vertical="center"/>
    </xf>
    <xf numFmtId="0" fontId="0" fillId="11" borderId="0" xfId="0" applyFill="1">
      <alignment vertical="center"/>
    </xf>
    <xf numFmtId="0" fontId="31" fillId="11" borderId="0" xfId="0" applyFont="1" applyFill="1">
      <alignment vertical="center"/>
    </xf>
    <xf numFmtId="0" fontId="28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horizontal="center"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11" borderId="14" xfId="0" applyFill="1" applyBorder="1">
      <alignment vertical="center"/>
    </xf>
    <xf numFmtId="0" fontId="31" fillId="11" borderId="14" xfId="0" applyFont="1" applyFill="1" applyBorder="1">
      <alignment vertical="center"/>
    </xf>
    <xf numFmtId="0" fontId="28" fillId="11" borderId="14" xfId="0" applyFont="1" applyFill="1" applyBorder="1" applyAlignment="1">
      <alignment horizontal="center" vertical="center"/>
    </xf>
    <xf numFmtId="0" fontId="27" fillId="11" borderId="14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0" fillId="0" borderId="0" xfId="0" applyFill="1">
      <alignment vertical="center"/>
    </xf>
    <xf numFmtId="0" fontId="31" fillId="0" borderId="0" xfId="0" applyFont="1" applyFill="1">
      <alignment vertical="center"/>
    </xf>
    <xf numFmtId="0" fontId="28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0" fillId="0" borderId="14" xfId="0" applyFill="1" applyBorder="1">
      <alignment vertical="center"/>
    </xf>
    <xf numFmtId="0" fontId="31" fillId="0" borderId="14" xfId="0" applyFont="1" applyFill="1" applyBorder="1">
      <alignment vertical="center"/>
    </xf>
    <xf numFmtId="0" fontId="28" fillId="0" borderId="14" xfId="0" applyFont="1" applyFill="1" applyBorder="1" applyAlignment="1">
      <alignment horizontal="center" vertical="center"/>
    </xf>
    <xf numFmtId="0" fontId="27" fillId="0" borderId="14" xfId="0" applyFont="1" applyFill="1" applyBorder="1" applyAlignment="1">
      <alignment horizontal="center" vertical="center"/>
    </xf>
    <xf numFmtId="0" fontId="29" fillId="11" borderId="0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49" fontId="5" fillId="11" borderId="0" xfId="0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left" vertical="center"/>
    </xf>
    <xf numFmtId="0" fontId="6" fillId="11" borderId="0" xfId="0" applyFont="1" applyFill="1" applyBorder="1" applyAlignment="1">
      <alignment horizontal="center" vertical="center"/>
    </xf>
    <xf numFmtId="0" fontId="29" fillId="11" borderId="8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49" fontId="5" fillId="11" borderId="8" xfId="0" applyNumberFormat="1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left" vertical="center"/>
    </xf>
    <xf numFmtId="0" fontId="6" fillId="11" borderId="8" xfId="0" applyFont="1" applyFill="1" applyBorder="1" applyAlignment="1">
      <alignment horizontal="center" vertical="center"/>
    </xf>
    <xf numFmtId="0" fontId="29" fillId="0" borderId="8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49" fontId="5" fillId="0" borderId="8" xfId="0" applyNumberFormat="1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Fill="1" applyBorder="1" applyAlignment="1">
      <alignment horizontal="center" vertical="center"/>
    </xf>
    <xf numFmtId="0" fontId="29" fillId="0" borderId="0" xfId="0" applyFont="1" applyFill="1" applyAlignment="1">
      <alignment horizontal="center" vertical="center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0" fontId="6" fillId="0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C5" sqref="C5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 t="s">
        <v>98</v>
      </c>
      <c r="F2" s="23" t="s">
        <v>81</v>
      </c>
      <c r="G2" s="23" t="s">
        <v>80</v>
      </c>
    </row>
    <row r="3" spans="2:7" ht="24.75" customHeight="1" thickBot="1">
      <c r="B3" s="2" t="s">
        <v>1</v>
      </c>
      <c r="C3" s="27" t="s">
        <v>100</v>
      </c>
      <c r="D3" s="30" t="s">
        <v>101</v>
      </c>
      <c r="E3" s="31">
        <v>4212</v>
      </c>
      <c r="F3" s="24" t="s">
        <v>76</v>
      </c>
      <c r="G3" s="24">
        <v>12</v>
      </c>
    </row>
    <row r="4" spans="2:7" ht="24.75" customHeight="1" thickBot="1">
      <c r="B4" s="2" t="s">
        <v>2</v>
      </c>
      <c r="C4" s="27" t="s">
        <v>225</v>
      </c>
      <c r="D4" s="34" t="s">
        <v>102</v>
      </c>
      <c r="E4" s="26" t="s">
        <v>103</v>
      </c>
      <c r="F4" s="24" t="s">
        <v>77</v>
      </c>
      <c r="G4" s="24">
        <v>10</v>
      </c>
    </row>
    <row r="5" spans="2:7" ht="24.75" customHeight="1" thickBot="1">
      <c r="B5" s="2" t="s">
        <v>3</v>
      </c>
      <c r="C5" s="27" t="s">
        <v>253</v>
      </c>
      <c r="D5" s="34" t="s">
        <v>104</v>
      </c>
      <c r="E5" s="35" t="s">
        <v>105</v>
      </c>
      <c r="F5" s="32" t="s">
        <v>95</v>
      </c>
      <c r="G5" s="24">
        <v>10</v>
      </c>
    </row>
    <row r="6" spans="2:7" ht="24.75" customHeight="1" thickBot="1">
      <c r="B6" s="2" t="s">
        <v>5</v>
      </c>
      <c r="C6" s="27" t="s">
        <v>307</v>
      </c>
      <c r="D6" s="30" t="s">
        <v>308</v>
      </c>
      <c r="E6" s="37">
        <v>4212</v>
      </c>
      <c r="F6" s="24" t="s">
        <v>78</v>
      </c>
      <c r="G6" s="24">
        <v>10</v>
      </c>
    </row>
    <row r="7" spans="2:7" ht="24.75" customHeight="1" thickBot="1">
      <c r="B7" s="2" t="s">
        <v>6</v>
      </c>
      <c r="C7" s="3" t="s">
        <v>332</v>
      </c>
      <c r="F7" s="24" t="s">
        <v>79</v>
      </c>
      <c r="G7" s="24">
        <v>12</v>
      </c>
    </row>
    <row r="8" spans="2:7" ht="20.25" thickBot="1">
      <c r="B8" s="2" t="s">
        <v>4</v>
      </c>
      <c r="C8" s="27" t="s">
        <v>333</v>
      </c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D3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4">
      <c r="B1" s="28" t="s">
        <v>107</v>
      </c>
      <c r="D1" t="s">
        <v>99</v>
      </c>
    </row>
    <row r="2" spans="2:4">
      <c r="B2" s="28" t="s">
        <v>106</v>
      </c>
    </row>
    <row r="3" spans="2:4">
      <c r="B3" t="s">
        <v>97</v>
      </c>
      <c r="D3" t="s">
        <v>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9"/>
  <sheetViews>
    <sheetView workbookViewId="0"/>
  </sheetViews>
  <sheetFormatPr defaultRowHeight="16.5"/>
  <cols>
    <col min="1" max="1" width="8.125" bestFit="1" customWidth="1"/>
    <col min="2" max="2" width="10.25" bestFit="1" customWidth="1"/>
    <col min="3" max="3" width="7.5" bestFit="1" customWidth="1"/>
    <col min="4" max="4" width="23.875" bestFit="1" customWidth="1"/>
    <col min="5" max="5" width="15" bestFit="1" customWidth="1"/>
    <col min="6" max="8" width="10.25" bestFit="1" customWidth="1"/>
    <col min="9" max="10" width="8.125" bestFit="1" customWidth="1"/>
    <col min="11" max="11" width="6" bestFit="1" customWidth="1"/>
    <col min="12" max="12" width="10.25" bestFit="1" customWidth="1"/>
    <col min="13" max="13" width="12.75" bestFit="1" customWidth="1"/>
    <col min="14" max="16" width="10.25" bestFit="1" customWidth="1"/>
    <col min="17" max="17" width="6" bestFit="1" customWidth="1"/>
    <col min="18" max="18" width="8.125" bestFit="1" customWidth="1"/>
    <col min="19" max="20" width="10.25" bestFit="1" customWidth="1"/>
    <col min="21" max="21" width="6" bestFit="1" customWidth="1"/>
    <col min="22" max="22" width="15" bestFit="1" customWidth="1"/>
  </cols>
  <sheetData>
    <row r="1" spans="1:22" s="43" customFormat="1">
      <c r="A1" s="43" t="s">
        <v>108</v>
      </c>
      <c r="B1" s="43" t="s">
        <v>109</v>
      </c>
      <c r="C1" s="43" t="s">
        <v>110</v>
      </c>
      <c r="D1" s="43" t="s">
        <v>111</v>
      </c>
      <c r="E1" s="43" t="s">
        <v>112</v>
      </c>
      <c r="F1" s="43" t="s">
        <v>113</v>
      </c>
      <c r="G1" s="43" t="s">
        <v>114</v>
      </c>
      <c r="H1" s="43" t="s">
        <v>115</v>
      </c>
      <c r="I1" s="43" t="s">
        <v>116</v>
      </c>
      <c r="J1" s="43" t="s">
        <v>117</v>
      </c>
      <c r="K1" s="43" t="s">
        <v>118</v>
      </c>
      <c r="L1" s="43" t="s">
        <v>119</v>
      </c>
      <c r="M1" s="43" t="s">
        <v>120</v>
      </c>
      <c r="N1" s="43" t="s">
        <v>121</v>
      </c>
      <c r="O1" s="43" t="s">
        <v>122</v>
      </c>
      <c r="P1" s="43" t="s">
        <v>123</v>
      </c>
      <c r="Q1" s="43" t="s">
        <v>124</v>
      </c>
      <c r="R1" s="43" t="s">
        <v>125</v>
      </c>
      <c r="S1" s="43" t="s">
        <v>126</v>
      </c>
      <c r="T1" s="43" t="s">
        <v>127</v>
      </c>
      <c r="U1" s="43" t="s">
        <v>128</v>
      </c>
      <c r="V1" s="43" t="s">
        <v>129</v>
      </c>
    </row>
    <row r="2" spans="1:22">
      <c r="A2">
        <v>1</v>
      </c>
      <c r="B2" s="28" t="s">
        <v>130</v>
      </c>
      <c r="C2" s="28" t="s">
        <v>131</v>
      </c>
      <c r="D2" t="s">
        <v>132</v>
      </c>
      <c r="E2">
        <v>48</v>
      </c>
      <c r="F2" t="s">
        <v>133</v>
      </c>
      <c r="G2" s="44">
        <v>4</v>
      </c>
      <c r="H2" s="45">
        <v>4</v>
      </c>
      <c r="I2" s="45">
        <v>3.0376550400000002</v>
      </c>
      <c r="J2" s="45">
        <v>52</v>
      </c>
      <c r="K2" t="s">
        <v>134</v>
      </c>
      <c r="L2">
        <v>13</v>
      </c>
      <c r="M2">
        <v>0.75941376000000005</v>
      </c>
      <c r="N2">
        <v>12</v>
      </c>
      <c r="O2" t="s">
        <v>135</v>
      </c>
      <c r="P2">
        <v>56</v>
      </c>
      <c r="R2">
        <v>48</v>
      </c>
      <c r="S2" s="46">
        <v>12</v>
      </c>
      <c r="T2" t="s">
        <v>136</v>
      </c>
      <c r="U2" s="47">
        <v>4</v>
      </c>
      <c r="V2" s="28" t="s">
        <v>137</v>
      </c>
    </row>
    <row r="3" spans="1:22">
      <c r="A3">
        <v>2</v>
      </c>
      <c r="B3" s="28" t="s">
        <v>138</v>
      </c>
      <c r="C3" s="28" t="s">
        <v>139</v>
      </c>
      <c r="D3" t="s">
        <v>140</v>
      </c>
      <c r="E3">
        <v>72</v>
      </c>
      <c r="F3" t="s">
        <v>133</v>
      </c>
      <c r="G3" s="44">
        <v>6</v>
      </c>
      <c r="H3" s="45">
        <v>6</v>
      </c>
      <c r="I3" s="45">
        <v>5.4897563028</v>
      </c>
      <c r="J3" s="45">
        <v>95.4</v>
      </c>
      <c r="K3" t="s">
        <v>134</v>
      </c>
      <c r="L3">
        <v>15.9</v>
      </c>
      <c r="M3">
        <v>0.91495938379999997</v>
      </c>
      <c r="N3">
        <v>12</v>
      </c>
      <c r="O3" t="s">
        <v>135</v>
      </c>
      <c r="P3">
        <v>48</v>
      </c>
      <c r="R3">
        <v>72</v>
      </c>
      <c r="S3" s="46">
        <v>12</v>
      </c>
      <c r="T3" t="s">
        <v>141</v>
      </c>
      <c r="U3" s="47">
        <v>6</v>
      </c>
      <c r="V3" s="28" t="s">
        <v>142</v>
      </c>
    </row>
    <row r="4" spans="1:22">
      <c r="A4">
        <v>3</v>
      </c>
      <c r="B4" s="28" t="s">
        <v>143</v>
      </c>
      <c r="C4" s="28" t="s">
        <v>144</v>
      </c>
      <c r="D4" t="s">
        <v>145</v>
      </c>
      <c r="E4">
        <v>288</v>
      </c>
      <c r="F4" t="s">
        <v>133</v>
      </c>
      <c r="G4" s="44">
        <v>12</v>
      </c>
      <c r="H4" s="45">
        <v>12</v>
      </c>
      <c r="I4" s="45">
        <v>6.9866065919999993</v>
      </c>
      <c r="J4" s="45">
        <v>97.199999999999989</v>
      </c>
      <c r="K4" t="s">
        <v>134</v>
      </c>
      <c r="L4">
        <v>8.1</v>
      </c>
      <c r="M4">
        <v>0.58221721599999998</v>
      </c>
      <c r="N4">
        <v>24</v>
      </c>
      <c r="O4" t="s">
        <v>135</v>
      </c>
      <c r="P4">
        <v>96</v>
      </c>
      <c r="R4">
        <v>288</v>
      </c>
      <c r="S4" s="46">
        <v>24</v>
      </c>
      <c r="T4" t="s">
        <v>146</v>
      </c>
      <c r="U4" s="47">
        <v>12</v>
      </c>
      <c r="V4" s="28" t="s">
        <v>147</v>
      </c>
    </row>
    <row r="5" spans="1:22">
      <c r="A5">
        <v>4</v>
      </c>
      <c r="B5" s="28" t="s">
        <v>148</v>
      </c>
      <c r="C5" s="28" t="s">
        <v>149</v>
      </c>
      <c r="D5" t="s">
        <v>150</v>
      </c>
      <c r="E5">
        <v>144</v>
      </c>
      <c r="F5" t="s">
        <v>133</v>
      </c>
      <c r="G5" s="44">
        <v>6</v>
      </c>
      <c r="H5" s="45">
        <v>6</v>
      </c>
      <c r="I5" s="45">
        <v>3.4793651717999996</v>
      </c>
      <c r="J5" s="45">
        <v>62.699999999999996</v>
      </c>
      <c r="K5" t="s">
        <v>134</v>
      </c>
      <c r="L5">
        <v>10.45</v>
      </c>
      <c r="M5">
        <v>0.57989419529999997</v>
      </c>
      <c r="N5">
        <v>24</v>
      </c>
      <c r="O5" t="s">
        <v>135</v>
      </c>
      <c r="P5">
        <v>96</v>
      </c>
      <c r="R5">
        <v>144</v>
      </c>
      <c r="S5" s="46">
        <v>24</v>
      </c>
      <c r="T5" t="s">
        <v>141</v>
      </c>
      <c r="U5" s="47">
        <v>6</v>
      </c>
      <c r="V5" s="28" t="s">
        <v>151</v>
      </c>
    </row>
    <row r="6" spans="1:22">
      <c r="A6">
        <v>5</v>
      </c>
      <c r="B6" s="28" t="s">
        <v>152</v>
      </c>
      <c r="C6" s="28" t="s">
        <v>153</v>
      </c>
      <c r="D6" t="s">
        <v>154</v>
      </c>
      <c r="E6">
        <v>72</v>
      </c>
      <c r="F6" t="s">
        <v>133</v>
      </c>
      <c r="G6" s="44">
        <v>6</v>
      </c>
      <c r="H6" s="45">
        <v>6</v>
      </c>
      <c r="I6" s="45">
        <v>2.9531109299999998</v>
      </c>
      <c r="J6" s="45">
        <v>40.799999999999997</v>
      </c>
      <c r="K6" t="s">
        <v>134</v>
      </c>
      <c r="L6">
        <v>6.8</v>
      </c>
      <c r="M6">
        <v>0.49218515499999999</v>
      </c>
      <c r="N6">
        <v>12</v>
      </c>
      <c r="O6" t="s">
        <v>135</v>
      </c>
      <c r="P6">
        <v>108</v>
      </c>
      <c r="R6">
        <v>72</v>
      </c>
      <c r="S6" s="46">
        <v>12</v>
      </c>
      <c r="T6" t="s">
        <v>141</v>
      </c>
      <c r="U6" s="47">
        <v>6</v>
      </c>
      <c r="V6" s="28" t="s">
        <v>155</v>
      </c>
    </row>
    <row r="7" spans="1:22">
      <c r="A7">
        <v>6</v>
      </c>
      <c r="B7" s="28" t="s">
        <v>156</v>
      </c>
      <c r="C7" s="28" t="s">
        <v>157</v>
      </c>
      <c r="D7" t="s">
        <v>158</v>
      </c>
      <c r="E7">
        <v>72</v>
      </c>
      <c r="F7" t="s">
        <v>133</v>
      </c>
      <c r="G7" s="44">
        <v>6</v>
      </c>
      <c r="H7" s="45">
        <v>6</v>
      </c>
      <c r="I7" s="45">
        <v>2.8710099116999999</v>
      </c>
      <c r="J7" s="45">
        <v>40.799999999999997</v>
      </c>
      <c r="K7" t="s">
        <v>134</v>
      </c>
      <c r="L7">
        <v>6.8</v>
      </c>
      <c r="M7">
        <v>0.47850165195</v>
      </c>
      <c r="N7">
        <v>12</v>
      </c>
      <c r="O7" t="s">
        <v>135</v>
      </c>
      <c r="P7">
        <v>108</v>
      </c>
      <c r="R7">
        <v>72</v>
      </c>
      <c r="S7" s="46">
        <v>12</v>
      </c>
      <c r="T7" t="s">
        <v>141</v>
      </c>
      <c r="U7" s="47">
        <v>6</v>
      </c>
      <c r="V7" s="28" t="s">
        <v>159</v>
      </c>
    </row>
    <row r="8" spans="1:22">
      <c r="A8">
        <v>7</v>
      </c>
      <c r="B8" s="28" t="s">
        <v>160</v>
      </c>
      <c r="C8" s="28" t="s">
        <v>161</v>
      </c>
      <c r="D8" t="s">
        <v>162</v>
      </c>
      <c r="E8">
        <v>24</v>
      </c>
      <c r="F8" t="s">
        <v>133</v>
      </c>
      <c r="G8" s="44">
        <v>1</v>
      </c>
      <c r="H8" s="45">
        <v>1</v>
      </c>
      <c r="I8" s="45">
        <v>0.84046253256000003</v>
      </c>
      <c r="J8" s="45">
        <v>10.6</v>
      </c>
      <c r="K8" t="s">
        <v>134</v>
      </c>
      <c r="L8">
        <v>10.6</v>
      </c>
      <c r="M8">
        <v>0.84046253256000003</v>
      </c>
      <c r="N8">
        <v>24</v>
      </c>
      <c r="O8" t="s">
        <v>135</v>
      </c>
      <c r="P8">
        <v>60</v>
      </c>
      <c r="R8">
        <v>24</v>
      </c>
      <c r="S8" s="46">
        <v>24</v>
      </c>
      <c r="T8" t="s">
        <v>163</v>
      </c>
      <c r="U8" s="47">
        <v>1</v>
      </c>
      <c r="V8" s="28" t="s">
        <v>164</v>
      </c>
    </row>
    <row r="9" spans="1:22">
      <c r="A9">
        <v>8</v>
      </c>
      <c r="B9" s="28" t="s">
        <v>165</v>
      </c>
      <c r="C9" s="28" t="s">
        <v>166</v>
      </c>
      <c r="D9" t="s">
        <v>167</v>
      </c>
      <c r="E9">
        <v>96</v>
      </c>
      <c r="F9" t="s">
        <v>133</v>
      </c>
      <c r="G9" s="44">
        <v>16</v>
      </c>
      <c r="H9" s="45">
        <v>16</v>
      </c>
      <c r="I9" s="45">
        <v>75.801359087999998</v>
      </c>
      <c r="J9" s="45">
        <v>328</v>
      </c>
      <c r="K9" t="s">
        <v>134</v>
      </c>
      <c r="L9">
        <v>20.5</v>
      </c>
      <c r="M9">
        <v>4.7375849429999999</v>
      </c>
      <c r="N9">
        <v>6</v>
      </c>
      <c r="O9" t="s">
        <v>135</v>
      </c>
      <c r="P9">
        <v>16</v>
      </c>
      <c r="R9">
        <v>96</v>
      </c>
      <c r="S9" s="46">
        <v>6</v>
      </c>
      <c r="T9" t="s">
        <v>168</v>
      </c>
      <c r="U9" s="47">
        <v>16</v>
      </c>
      <c r="V9" s="28" t="s">
        <v>169</v>
      </c>
    </row>
    <row r="10" spans="1:22">
      <c r="A10">
        <v>9</v>
      </c>
      <c r="B10" s="28" t="s">
        <v>170</v>
      </c>
      <c r="C10" s="28" t="s">
        <v>171</v>
      </c>
      <c r="D10" t="s">
        <v>172</v>
      </c>
      <c r="E10">
        <v>180</v>
      </c>
      <c r="F10" t="s">
        <v>133</v>
      </c>
      <c r="G10" s="44">
        <v>15</v>
      </c>
      <c r="H10" s="45">
        <v>15</v>
      </c>
      <c r="I10" s="45">
        <v>5.6539032479999998</v>
      </c>
      <c r="J10" s="45">
        <v>31.5</v>
      </c>
      <c r="K10" t="s">
        <v>134</v>
      </c>
      <c r="L10">
        <v>2.1</v>
      </c>
      <c r="M10">
        <v>0.37692688320000001</v>
      </c>
      <c r="N10">
        <v>12</v>
      </c>
      <c r="O10" t="s">
        <v>135</v>
      </c>
      <c r="P10">
        <v>180</v>
      </c>
      <c r="R10">
        <v>180</v>
      </c>
      <c r="S10" s="46">
        <v>12</v>
      </c>
      <c r="T10" t="s">
        <v>173</v>
      </c>
      <c r="U10" s="47">
        <v>15</v>
      </c>
      <c r="V10" s="28" t="s">
        <v>174</v>
      </c>
    </row>
    <row r="11" spans="1:22">
      <c r="A11">
        <v>10</v>
      </c>
      <c r="B11" s="28" t="s">
        <v>175</v>
      </c>
      <c r="C11" s="28" t="s">
        <v>176</v>
      </c>
      <c r="D11" t="s">
        <v>177</v>
      </c>
      <c r="E11">
        <v>24</v>
      </c>
      <c r="F11" t="s">
        <v>133</v>
      </c>
      <c r="G11" s="44">
        <v>2</v>
      </c>
      <c r="H11" s="45">
        <v>2</v>
      </c>
      <c r="I11" s="45">
        <v>0.85547762299999996</v>
      </c>
      <c r="J11" s="45">
        <v>7.4</v>
      </c>
      <c r="K11" t="s">
        <v>134</v>
      </c>
      <c r="L11">
        <v>3.7</v>
      </c>
      <c r="M11">
        <v>0.42773881149999998</v>
      </c>
      <c r="N11">
        <v>12</v>
      </c>
      <c r="O11" t="s">
        <v>178</v>
      </c>
      <c r="P11">
        <v>120</v>
      </c>
      <c r="R11">
        <v>24</v>
      </c>
      <c r="S11" s="46">
        <v>12</v>
      </c>
      <c r="T11" t="s">
        <v>179</v>
      </c>
      <c r="U11" s="47">
        <v>2</v>
      </c>
      <c r="V11" s="28" t="s">
        <v>180</v>
      </c>
    </row>
    <row r="12" spans="1:22">
      <c r="A12">
        <v>11</v>
      </c>
      <c r="B12" s="28" t="s">
        <v>181</v>
      </c>
      <c r="C12" s="28" t="s">
        <v>182</v>
      </c>
      <c r="D12" t="s">
        <v>183</v>
      </c>
      <c r="E12">
        <v>864</v>
      </c>
      <c r="F12" t="s">
        <v>133</v>
      </c>
      <c r="G12" s="44">
        <v>3</v>
      </c>
      <c r="H12" s="45">
        <v>3</v>
      </c>
      <c r="I12" s="45">
        <v>2.8289979516749999</v>
      </c>
      <c r="J12" s="45">
        <v>15.899999999999999</v>
      </c>
      <c r="K12" t="s">
        <v>134</v>
      </c>
      <c r="L12">
        <v>5.3</v>
      </c>
      <c r="M12">
        <v>0.94299931722499997</v>
      </c>
      <c r="N12">
        <v>288</v>
      </c>
      <c r="O12" t="s">
        <v>135</v>
      </c>
      <c r="P12">
        <v>48</v>
      </c>
      <c r="R12">
        <v>864</v>
      </c>
      <c r="S12" s="46">
        <v>288</v>
      </c>
      <c r="T12" t="s">
        <v>184</v>
      </c>
      <c r="U12" s="47">
        <v>3</v>
      </c>
      <c r="V12" s="28" t="s">
        <v>185</v>
      </c>
    </row>
    <row r="13" spans="1:22">
      <c r="A13">
        <v>12</v>
      </c>
      <c r="B13" s="28" t="s">
        <v>186</v>
      </c>
      <c r="C13" s="28" t="s">
        <v>187</v>
      </c>
      <c r="D13" t="s">
        <v>188</v>
      </c>
      <c r="E13">
        <v>12</v>
      </c>
      <c r="F13" t="s">
        <v>133</v>
      </c>
      <c r="G13" s="44">
        <v>1</v>
      </c>
      <c r="H13" s="45">
        <v>1</v>
      </c>
      <c r="I13" s="45">
        <v>0.84774010649999998</v>
      </c>
      <c r="J13" s="45">
        <v>14.5</v>
      </c>
      <c r="K13" t="s">
        <v>134</v>
      </c>
      <c r="L13">
        <v>14.5</v>
      </c>
      <c r="M13">
        <v>0.84774010649999998</v>
      </c>
      <c r="N13">
        <v>12</v>
      </c>
      <c r="O13" t="s">
        <v>189</v>
      </c>
      <c r="P13">
        <v>80</v>
      </c>
      <c r="R13">
        <v>12</v>
      </c>
      <c r="S13" s="46">
        <v>12</v>
      </c>
      <c r="T13" t="s">
        <v>163</v>
      </c>
      <c r="U13" s="47">
        <v>1</v>
      </c>
      <c r="V13" s="28" t="s">
        <v>190</v>
      </c>
    </row>
    <row r="14" spans="1:22">
      <c r="A14">
        <v>13</v>
      </c>
      <c r="B14" s="28" t="s">
        <v>191</v>
      </c>
      <c r="C14" s="28" t="s">
        <v>192</v>
      </c>
      <c r="D14" t="s">
        <v>193</v>
      </c>
      <c r="E14">
        <v>60</v>
      </c>
      <c r="F14" t="s">
        <v>133</v>
      </c>
      <c r="G14" s="44">
        <v>6</v>
      </c>
      <c r="H14" s="45">
        <v>6</v>
      </c>
      <c r="I14" s="45">
        <v>4.9586582555999996</v>
      </c>
      <c r="J14" s="45">
        <v>65.400000000000006</v>
      </c>
      <c r="K14" t="s">
        <v>134</v>
      </c>
      <c r="L14">
        <v>10.9</v>
      </c>
      <c r="M14">
        <v>0.82644304260000001</v>
      </c>
      <c r="N14">
        <v>10</v>
      </c>
      <c r="O14" t="s">
        <v>135</v>
      </c>
      <c r="P14">
        <v>50</v>
      </c>
      <c r="R14">
        <v>60</v>
      </c>
      <c r="S14" s="46">
        <v>10</v>
      </c>
      <c r="T14" t="s">
        <v>141</v>
      </c>
      <c r="U14" s="47">
        <v>6</v>
      </c>
      <c r="V14" s="28" t="s">
        <v>194</v>
      </c>
    </row>
    <row r="15" spans="1:22">
      <c r="A15">
        <v>14</v>
      </c>
      <c r="B15" s="28" t="s">
        <v>195</v>
      </c>
      <c r="C15" s="28" t="s">
        <v>196</v>
      </c>
      <c r="D15" t="s">
        <v>197</v>
      </c>
      <c r="E15">
        <v>72</v>
      </c>
      <c r="F15" t="s">
        <v>133</v>
      </c>
      <c r="G15" s="44">
        <v>6</v>
      </c>
      <c r="H15" s="45">
        <v>6</v>
      </c>
      <c r="I15" s="45">
        <v>5.6433384126000004</v>
      </c>
      <c r="J15" s="45">
        <v>78</v>
      </c>
      <c r="K15" t="s">
        <v>134</v>
      </c>
      <c r="L15">
        <v>13</v>
      </c>
      <c r="M15">
        <v>0.94055640210000002</v>
      </c>
      <c r="N15">
        <v>12</v>
      </c>
      <c r="O15" t="s">
        <v>135</v>
      </c>
      <c r="P15">
        <v>60</v>
      </c>
      <c r="R15">
        <v>72</v>
      </c>
      <c r="S15" s="46">
        <v>12</v>
      </c>
      <c r="T15" t="s">
        <v>141</v>
      </c>
      <c r="U15" s="47">
        <v>6</v>
      </c>
      <c r="V15" s="28" t="s">
        <v>198</v>
      </c>
    </row>
    <row r="16" spans="1:22">
      <c r="A16">
        <v>15</v>
      </c>
      <c r="B16" s="28" t="s">
        <v>199</v>
      </c>
      <c r="C16" s="28" t="s">
        <v>200</v>
      </c>
      <c r="D16" t="s">
        <v>201</v>
      </c>
      <c r="E16">
        <v>288</v>
      </c>
      <c r="F16" t="s">
        <v>133</v>
      </c>
      <c r="G16" s="44">
        <v>24</v>
      </c>
      <c r="H16" s="45">
        <v>24</v>
      </c>
      <c r="I16" s="45">
        <v>14.149505663999999</v>
      </c>
      <c r="J16" s="45">
        <v>168</v>
      </c>
      <c r="K16" t="s">
        <v>134</v>
      </c>
      <c r="L16">
        <v>7</v>
      </c>
      <c r="M16">
        <v>0.58956273599999998</v>
      </c>
      <c r="N16">
        <v>12</v>
      </c>
      <c r="O16" t="s">
        <v>135</v>
      </c>
      <c r="P16">
        <v>108</v>
      </c>
      <c r="R16">
        <v>288</v>
      </c>
      <c r="S16" s="46">
        <v>12</v>
      </c>
      <c r="T16" t="s">
        <v>202</v>
      </c>
      <c r="U16" s="47">
        <v>24</v>
      </c>
      <c r="V16" s="28" t="s">
        <v>203</v>
      </c>
    </row>
    <row r="17" spans="1:22">
      <c r="A17">
        <v>16</v>
      </c>
      <c r="B17" s="28" t="s">
        <v>204</v>
      </c>
      <c r="C17" s="28" t="s">
        <v>205</v>
      </c>
      <c r="D17" t="s">
        <v>206</v>
      </c>
      <c r="E17">
        <v>840</v>
      </c>
      <c r="F17" t="s">
        <v>133</v>
      </c>
      <c r="G17" s="44">
        <v>70</v>
      </c>
      <c r="H17" s="45">
        <v>70</v>
      </c>
      <c r="I17" s="45">
        <v>125.503951419</v>
      </c>
      <c r="J17" s="45">
        <v>462</v>
      </c>
      <c r="K17" t="s">
        <v>134</v>
      </c>
      <c r="L17">
        <v>6.6</v>
      </c>
      <c r="M17">
        <v>1.7929135917000001</v>
      </c>
      <c r="N17">
        <v>12</v>
      </c>
      <c r="O17" t="s">
        <v>135</v>
      </c>
      <c r="P17">
        <v>35</v>
      </c>
      <c r="R17">
        <v>840</v>
      </c>
      <c r="S17" s="46">
        <v>12</v>
      </c>
      <c r="T17" t="s">
        <v>207</v>
      </c>
      <c r="U17" s="47">
        <v>70</v>
      </c>
      <c r="V17" s="28" t="s">
        <v>208</v>
      </c>
    </row>
    <row r="18" spans="1:22">
      <c r="A18">
        <v>17</v>
      </c>
      <c r="B18" s="28" t="s">
        <v>209</v>
      </c>
      <c r="C18" s="28" t="s">
        <v>210</v>
      </c>
      <c r="D18" t="s">
        <v>211</v>
      </c>
      <c r="E18">
        <v>576</v>
      </c>
      <c r="F18" t="s">
        <v>133</v>
      </c>
      <c r="G18" s="44">
        <v>48</v>
      </c>
      <c r="H18" s="45">
        <v>48</v>
      </c>
      <c r="I18" s="45">
        <v>68.16</v>
      </c>
      <c r="J18" s="45">
        <v>206.39999999999998</v>
      </c>
      <c r="K18" t="s">
        <v>134</v>
      </c>
      <c r="L18">
        <v>4.3</v>
      </c>
      <c r="M18">
        <v>1.42</v>
      </c>
      <c r="N18">
        <v>12</v>
      </c>
      <c r="O18" t="s">
        <v>135</v>
      </c>
      <c r="P18">
        <v>48</v>
      </c>
      <c r="R18">
        <v>576</v>
      </c>
      <c r="S18" s="46">
        <v>12</v>
      </c>
      <c r="T18" t="s">
        <v>212</v>
      </c>
      <c r="U18" s="47">
        <v>48</v>
      </c>
      <c r="V18" s="28" t="s">
        <v>213</v>
      </c>
    </row>
    <row r="19" spans="1:22">
      <c r="A19">
        <v>18</v>
      </c>
      <c r="B19" s="28" t="s">
        <v>214</v>
      </c>
      <c r="C19" s="28" t="s">
        <v>215</v>
      </c>
      <c r="D19" t="s">
        <v>216</v>
      </c>
      <c r="E19">
        <v>480</v>
      </c>
      <c r="F19" t="s">
        <v>133</v>
      </c>
      <c r="G19" s="44">
        <v>10</v>
      </c>
      <c r="H19" s="45">
        <v>10</v>
      </c>
      <c r="I19" s="45">
        <v>9.4945217996999993</v>
      </c>
      <c r="J19" s="45">
        <v>110</v>
      </c>
      <c r="K19" t="s">
        <v>134</v>
      </c>
      <c r="L19">
        <v>11</v>
      </c>
      <c r="M19">
        <v>0.94945217996999998</v>
      </c>
      <c r="N19">
        <v>48</v>
      </c>
      <c r="O19" t="s">
        <v>135</v>
      </c>
      <c r="P19">
        <v>36</v>
      </c>
      <c r="R19">
        <v>480</v>
      </c>
      <c r="S19" s="46">
        <v>48</v>
      </c>
      <c r="T19" t="s">
        <v>217</v>
      </c>
      <c r="U19" s="47">
        <v>10</v>
      </c>
      <c r="V19" s="28" t="s">
        <v>218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9"/>
  <sheetViews>
    <sheetView workbookViewId="0"/>
  </sheetViews>
  <sheetFormatPr defaultRowHeight="16.5"/>
  <cols>
    <col min="1" max="1" width="5" bestFit="1" customWidth="1"/>
    <col min="2" max="2" width="6" bestFit="1" customWidth="1"/>
    <col min="3" max="3" width="7.5" bestFit="1" customWidth="1"/>
    <col min="4" max="4" width="23.875" bestFit="1" customWidth="1"/>
    <col min="5" max="8" width="10.25" bestFit="1" customWidth="1"/>
    <col min="9" max="10" width="8.125" bestFit="1" customWidth="1"/>
    <col min="11" max="11" width="6" bestFit="1" customWidth="1"/>
    <col min="12" max="16" width="10.25" bestFit="1" customWidth="1"/>
    <col min="17" max="17" width="10.5" bestFit="1" customWidth="1"/>
    <col min="18" max="20" width="10.25" bestFit="1" customWidth="1"/>
    <col min="21" max="21" width="6" bestFit="1" customWidth="1"/>
    <col min="22" max="22" width="10.25" bestFit="1" customWidth="1"/>
    <col min="23" max="23" width="6" bestFit="1" customWidth="1"/>
    <col min="24" max="24" width="15" bestFit="1" customWidth="1"/>
  </cols>
  <sheetData>
    <row r="1" spans="1:24" s="43" customFormat="1">
      <c r="A1" s="43" t="s">
        <v>219</v>
      </c>
      <c r="B1" s="43" t="s">
        <v>220</v>
      </c>
      <c r="C1" s="43" t="s">
        <v>110</v>
      </c>
      <c r="D1" s="43" t="s">
        <v>111</v>
      </c>
      <c r="E1" s="43" t="s">
        <v>221</v>
      </c>
      <c r="F1" s="43" t="s">
        <v>113</v>
      </c>
      <c r="G1" s="43" t="s">
        <v>114</v>
      </c>
      <c r="H1" s="43" t="s">
        <v>115</v>
      </c>
      <c r="I1" s="43" t="s">
        <v>116</v>
      </c>
      <c r="J1" s="43" t="s">
        <v>117</v>
      </c>
      <c r="K1" s="43" t="s">
        <v>118</v>
      </c>
      <c r="L1" s="43" t="s">
        <v>119</v>
      </c>
      <c r="M1" s="43" t="s">
        <v>120</v>
      </c>
      <c r="N1" s="43" t="s">
        <v>121</v>
      </c>
      <c r="O1" s="43" t="s">
        <v>122</v>
      </c>
      <c r="P1" s="43" t="s">
        <v>123</v>
      </c>
      <c r="Q1" s="43" t="s">
        <v>124</v>
      </c>
      <c r="R1" s="43" t="s">
        <v>222</v>
      </c>
      <c r="S1" s="43" t="s">
        <v>223</v>
      </c>
      <c r="U1" s="43" t="s">
        <v>224</v>
      </c>
      <c r="V1" s="43" t="s">
        <v>127</v>
      </c>
      <c r="W1" s="43" t="s">
        <v>128</v>
      </c>
      <c r="X1" s="43" t="s">
        <v>129</v>
      </c>
    </row>
    <row r="2" spans="1:24">
      <c r="A2">
        <v>1</v>
      </c>
      <c r="B2" s="28" t="s">
        <v>130</v>
      </c>
      <c r="C2" s="28" t="s">
        <v>131</v>
      </c>
      <c r="D2" t="s">
        <v>132</v>
      </c>
      <c r="E2">
        <v>48</v>
      </c>
      <c r="F2" t="s">
        <v>133</v>
      </c>
      <c r="G2" s="44">
        <v>4</v>
      </c>
      <c r="H2" s="44">
        <v>4</v>
      </c>
      <c r="I2" s="45">
        <v>3.0376550400000002</v>
      </c>
      <c r="J2" s="45">
        <v>52</v>
      </c>
      <c r="K2" t="s">
        <v>134</v>
      </c>
      <c r="L2">
        <v>13</v>
      </c>
      <c r="M2" s="45">
        <v>0.75941376000000005</v>
      </c>
      <c r="N2">
        <v>12</v>
      </c>
      <c r="O2" t="s">
        <v>135</v>
      </c>
      <c r="P2" s="28">
        <v>4</v>
      </c>
      <c r="Q2" s="48">
        <v>46794</v>
      </c>
      <c r="R2" s="44">
        <v>48</v>
      </c>
      <c r="S2" s="46">
        <v>12</v>
      </c>
      <c r="T2">
        <v>48</v>
      </c>
      <c r="V2" t="s">
        <v>136</v>
      </c>
      <c r="W2" s="47">
        <v>4</v>
      </c>
      <c r="X2" s="28" t="s">
        <v>137</v>
      </c>
    </row>
    <row r="3" spans="1:24">
      <c r="A3">
        <v>2</v>
      </c>
      <c r="B3" s="28" t="s">
        <v>143</v>
      </c>
      <c r="C3" s="28" t="s">
        <v>144</v>
      </c>
      <c r="D3" t="s">
        <v>145</v>
      </c>
      <c r="E3">
        <v>288</v>
      </c>
      <c r="F3" t="s">
        <v>133</v>
      </c>
      <c r="G3" s="44">
        <v>12</v>
      </c>
      <c r="H3" s="44">
        <v>12</v>
      </c>
      <c r="I3" s="45">
        <v>6.9866065919999993</v>
      </c>
      <c r="J3" s="45">
        <v>97.199999999999989</v>
      </c>
      <c r="K3" t="s">
        <v>134</v>
      </c>
      <c r="L3">
        <v>8.1</v>
      </c>
      <c r="M3" s="45">
        <v>0.58221721599999998</v>
      </c>
      <c r="N3">
        <v>24</v>
      </c>
      <c r="O3" t="s">
        <v>135</v>
      </c>
      <c r="P3" s="28">
        <v>12</v>
      </c>
      <c r="Q3" s="48">
        <v>46855</v>
      </c>
      <c r="R3" s="44">
        <v>288</v>
      </c>
      <c r="S3" s="46">
        <v>24</v>
      </c>
      <c r="T3">
        <v>288</v>
      </c>
      <c r="V3" t="s">
        <v>146</v>
      </c>
      <c r="W3" s="47">
        <v>12</v>
      </c>
      <c r="X3" s="28" t="s">
        <v>147</v>
      </c>
    </row>
    <row r="4" spans="1:24">
      <c r="A4">
        <v>3</v>
      </c>
      <c r="B4" s="28" t="s">
        <v>148</v>
      </c>
      <c r="C4" s="28" t="s">
        <v>149</v>
      </c>
      <c r="D4" t="s">
        <v>150</v>
      </c>
      <c r="E4">
        <v>144</v>
      </c>
      <c r="F4" t="s">
        <v>133</v>
      </c>
      <c r="G4" s="44">
        <v>6</v>
      </c>
      <c r="H4" s="44">
        <v>6</v>
      </c>
      <c r="I4" s="45">
        <v>3.4793651717999996</v>
      </c>
      <c r="J4" s="45">
        <v>62.699999999999996</v>
      </c>
      <c r="K4" t="s">
        <v>134</v>
      </c>
      <c r="L4">
        <v>10.45</v>
      </c>
      <c r="M4" s="45">
        <v>0.57989419529999997</v>
      </c>
      <c r="N4">
        <v>24</v>
      </c>
      <c r="O4" t="s">
        <v>135</v>
      </c>
      <c r="P4" s="28">
        <v>6</v>
      </c>
      <c r="Q4" s="48">
        <v>46697</v>
      </c>
      <c r="R4" s="44">
        <v>144</v>
      </c>
      <c r="S4" s="46">
        <v>24</v>
      </c>
      <c r="T4">
        <v>144</v>
      </c>
      <c r="V4" t="s">
        <v>141</v>
      </c>
      <c r="W4" s="47">
        <v>6</v>
      </c>
      <c r="X4" s="28" t="s">
        <v>151</v>
      </c>
    </row>
    <row r="5" spans="1:24">
      <c r="A5">
        <v>4</v>
      </c>
      <c r="B5" s="28" t="s">
        <v>160</v>
      </c>
      <c r="C5" s="28" t="s">
        <v>161</v>
      </c>
      <c r="D5" t="s">
        <v>162</v>
      </c>
      <c r="E5">
        <v>24</v>
      </c>
      <c r="F5" t="s">
        <v>133</v>
      </c>
      <c r="G5" s="44">
        <v>1</v>
      </c>
      <c r="H5" s="44">
        <v>1</v>
      </c>
      <c r="I5" s="45">
        <v>0.84046253256000003</v>
      </c>
      <c r="J5" s="45">
        <v>10.6</v>
      </c>
      <c r="K5" t="s">
        <v>134</v>
      </c>
      <c r="L5">
        <v>10.6</v>
      </c>
      <c r="M5" s="45">
        <v>0.84046253256000003</v>
      </c>
      <c r="N5">
        <v>24</v>
      </c>
      <c r="O5" t="s">
        <v>135</v>
      </c>
      <c r="P5" s="28">
        <v>1</v>
      </c>
      <c r="Q5" s="48">
        <v>46491</v>
      </c>
      <c r="R5" s="44">
        <v>24</v>
      </c>
      <c r="S5" s="46">
        <v>24</v>
      </c>
      <c r="T5">
        <v>24</v>
      </c>
      <c r="V5" t="s">
        <v>163</v>
      </c>
      <c r="W5" s="47">
        <v>1</v>
      </c>
      <c r="X5" s="28" t="s">
        <v>164</v>
      </c>
    </row>
    <row r="6" spans="1:24">
      <c r="A6">
        <v>5</v>
      </c>
      <c r="B6" s="28" t="s">
        <v>175</v>
      </c>
      <c r="C6" s="28" t="s">
        <v>176</v>
      </c>
      <c r="D6" t="s">
        <v>177</v>
      </c>
      <c r="E6">
        <v>24</v>
      </c>
      <c r="F6" t="s">
        <v>133</v>
      </c>
      <c r="G6" s="44">
        <v>2</v>
      </c>
      <c r="H6" s="44">
        <v>2</v>
      </c>
      <c r="I6" s="45">
        <v>0.85547762299999996</v>
      </c>
      <c r="J6" s="45">
        <v>7.4</v>
      </c>
      <c r="K6" t="s">
        <v>134</v>
      </c>
      <c r="L6">
        <v>3.7</v>
      </c>
      <c r="M6" s="45">
        <v>0.42773881149999998</v>
      </c>
      <c r="N6">
        <v>12</v>
      </c>
      <c r="O6" t="s">
        <v>178</v>
      </c>
      <c r="P6" s="28">
        <v>2</v>
      </c>
      <c r="Q6" s="48">
        <v>46520</v>
      </c>
      <c r="R6" s="44">
        <v>24</v>
      </c>
      <c r="S6" s="46">
        <v>12</v>
      </c>
      <c r="T6">
        <v>24</v>
      </c>
      <c r="V6" t="s">
        <v>179</v>
      </c>
      <c r="W6" s="47">
        <v>2</v>
      </c>
      <c r="X6" s="28" t="s">
        <v>180</v>
      </c>
    </row>
    <row r="7" spans="1:24">
      <c r="A7">
        <v>6</v>
      </c>
      <c r="B7" s="28" t="s">
        <v>199</v>
      </c>
      <c r="C7" s="28" t="s">
        <v>200</v>
      </c>
      <c r="D7" t="s">
        <v>201</v>
      </c>
      <c r="E7">
        <v>288</v>
      </c>
      <c r="F7" t="s">
        <v>133</v>
      </c>
      <c r="G7" s="44">
        <v>24</v>
      </c>
      <c r="H7" s="44">
        <v>24</v>
      </c>
      <c r="I7" s="45">
        <v>14.149505663999999</v>
      </c>
      <c r="J7" s="45">
        <v>168</v>
      </c>
      <c r="K7" t="s">
        <v>134</v>
      </c>
      <c r="L7">
        <v>7</v>
      </c>
      <c r="M7" s="45">
        <v>0.58956273599999998</v>
      </c>
      <c r="N7">
        <v>12</v>
      </c>
      <c r="O7" t="s">
        <v>135</v>
      </c>
      <c r="P7" s="28">
        <v>24</v>
      </c>
      <c r="Q7" s="48">
        <v>46719</v>
      </c>
      <c r="R7" s="44">
        <v>288</v>
      </c>
      <c r="S7" s="46">
        <v>12</v>
      </c>
      <c r="T7">
        <v>288</v>
      </c>
      <c r="V7" t="s">
        <v>202</v>
      </c>
      <c r="W7" s="47">
        <v>24</v>
      </c>
      <c r="X7" s="28" t="s">
        <v>203</v>
      </c>
    </row>
    <row r="8" spans="1:24">
      <c r="A8">
        <v>7</v>
      </c>
      <c r="B8" s="28" t="s">
        <v>191</v>
      </c>
      <c r="C8" s="28" t="s">
        <v>192</v>
      </c>
      <c r="D8" t="s">
        <v>193</v>
      </c>
      <c r="E8">
        <v>60</v>
      </c>
      <c r="F8" t="s">
        <v>133</v>
      </c>
      <c r="G8" s="44">
        <v>6</v>
      </c>
      <c r="H8" s="44">
        <v>6</v>
      </c>
      <c r="I8" s="45">
        <v>4.9586582555999996</v>
      </c>
      <c r="J8" s="45">
        <v>65.400000000000006</v>
      </c>
      <c r="K8" t="s">
        <v>134</v>
      </c>
      <c r="L8">
        <v>10.9</v>
      </c>
      <c r="M8" s="45">
        <v>0.82644304260000001</v>
      </c>
      <c r="N8">
        <v>10</v>
      </c>
      <c r="O8" t="s">
        <v>135</v>
      </c>
      <c r="P8" s="28">
        <v>6</v>
      </c>
      <c r="Q8" s="48">
        <v>46527</v>
      </c>
      <c r="R8" s="44">
        <v>60</v>
      </c>
      <c r="S8" s="46">
        <v>10</v>
      </c>
      <c r="T8">
        <v>60</v>
      </c>
      <c r="V8" t="s">
        <v>141</v>
      </c>
      <c r="W8" s="47">
        <v>6</v>
      </c>
      <c r="X8" s="28" t="s">
        <v>194</v>
      </c>
    </row>
    <row r="9" spans="1:24">
      <c r="A9">
        <v>8</v>
      </c>
      <c r="B9" s="28" t="s">
        <v>156</v>
      </c>
      <c r="C9" s="28" t="s">
        <v>157</v>
      </c>
      <c r="D9" t="s">
        <v>158</v>
      </c>
      <c r="E9">
        <v>72</v>
      </c>
      <c r="F9" t="s">
        <v>133</v>
      </c>
      <c r="G9" s="44">
        <v>6</v>
      </c>
      <c r="H9" s="44">
        <v>6</v>
      </c>
      <c r="I9" s="45">
        <v>2.8710099116999999</v>
      </c>
      <c r="J9" s="45">
        <v>40.799999999999997</v>
      </c>
      <c r="K9" t="s">
        <v>134</v>
      </c>
      <c r="L9">
        <v>6.8</v>
      </c>
      <c r="M9" s="45">
        <v>0.47850165195</v>
      </c>
      <c r="N9">
        <v>12</v>
      </c>
      <c r="O9" t="s">
        <v>135</v>
      </c>
      <c r="P9" s="28">
        <v>6</v>
      </c>
      <c r="Q9" s="48">
        <v>46513</v>
      </c>
      <c r="R9" s="44">
        <v>72</v>
      </c>
      <c r="S9" s="46">
        <v>12</v>
      </c>
      <c r="T9">
        <v>72</v>
      </c>
      <c r="V9" t="s">
        <v>141</v>
      </c>
      <c r="W9" s="47">
        <v>6</v>
      </c>
      <c r="X9" s="28" t="s">
        <v>159</v>
      </c>
    </row>
    <row r="10" spans="1:24">
      <c r="A10">
        <v>9</v>
      </c>
      <c r="B10" s="28" t="s">
        <v>195</v>
      </c>
      <c r="C10" s="28" t="s">
        <v>196</v>
      </c>
      <c r="D10" t="s">
        <v>197</v>
      </c>
      <c r="E10">
        <v>72</v>
      </c>
      <c r="F10" t="s">
        <v>133</v>
      </c>
      <c r="G10" s="44">
        <v>6</v>
      </c>
      <c r="H10" s="44">
        <v>6</v>
      </c>
      <c r="I10" s="45">
        <v>5.6433384126000004</v>
      </c>
      <c r="J10" s="45">
        <v>78</v>
      </c>
      <c r="K10" t="s">
        <v>134</v>
      </c>
      <c r="L10">
        <v>13</v>
      </c>
      <c r="M10" s="45">
        <v>0.94055640210000002</v>
      </c>
      <c r="N10">
        <v>12</v>
      </c>
      <c r="O10" t="s">
        <v>135</v>
      </c>
      <c r="P10" s="28">
        <v>6</v>
      </c>
      <c r="Q10" s="48">
        <v>46511</v>
      </c>
      <c r="R10" s="44">
        <v>72</v>
      </c>
      <c r="S10" s="46">
        <v>12</v>
      </c>
      <c r="T10">
        <v>72</v>
      </c>
      <c r="V10" t="s">
        <v>141</v>
      </c>
      <c r="W10" s="47">
        <v>6</v>
      </c>
      <c r="X10" s="28" t="s">
        <v>198</v>
      </c>
    </row>
    <row r="11" spans="1:24">
      <c r="A11">
        <v>10</v>
      </c>
      <c r="B11" s="28" t="s">
        <v>152</v>
      </c>
      <c r="C11" s="28" t="s">
        <v>153</v>
      </c>
      <c r="D11" t="s">
        <v>154</v>
      </c>
      <c r="E11">
        <v>72</v>
      </c>
      <c r="F11" t="s">
        <v>133</v>
      </c>
      <c r="G11" s="44">
        <v>6</v>
      </c>
      <c r="H11" s="44">
        <v>6</v>
      </c>
      <c r="I11" s="45">
        <v>2.9531109299999998</v>
      </c>
      <c r="J11" s="45">
        <v>40.799999999999997</v>
      </c>
      <c r="K11" t="s">
        <v>134</v>
      </c>
      <c r="L11">
        <v>6.8</v>
      </c>
      <c r="M11" s="45">
        <v>0.49218515499999999</v>
      </c>
      <c r="N11">
        <v>12</v>
      </c>
      <c r="O11" t="s">
        <v>135</v>
      </c>
      <c r="P11" s="28">
        <v>6</v>
      </c>
      <c r="Q11" s="48">
        <v>46681</v>
      </c>
      <c r="R11" s="44">
        <v>72</v>
      </c>
      <c r="S11" s="46">
        <v>12</v>
      </c>
      <c r="T11">
        <v>72</v>
      </c>
      <c r="V11" t="s">
        <v>141</v>
      </c>
      <c r="W11" s="47">
        <v>6</v>
      </c>
      <c r="X11" s="28" t="s">
        <v>155</v>
      </c>
    </row>
    <row r="12" spans="1:24">
      <c r="A12">
        <v>11</v>
      </c>
      <c r="B12" s="28" t="s">
        <v>181</v>
      </c>
      <c r="C12" s="28" t="s">
        <v>182</v>
      </c>
      <c r="D12" t="s">
        <v>183</v>
      </c>
      <c r="E12">
        <v>864</v>
      </c>
      <c r="F12" t="s">
        <v>133</v>
      </c>
      <c r="G12" s="44">
        <v>3</v>
      </c>
      <c r="H12" s="44">
        <v>3</v>
      </c>
      <c r="I12" s="45">
        <v>2.8289979516749999</v>
      </c>
      <c r="J12" s="45">
        <v>15.899999999999999</v>
      </c>
      <c r="K12" t="s">
        <v>134</v>
      </c>
      <c r="L12">
        <v>5.3</v>
      </c>
      <c r="M12" s="45">
        <v>0.94299931722499997</v>
      </c>
      <c r="N12">
        <v>288</v>
      </c>
      <c r="O12" t="s">
        <v>135</v>
      </c>
      <c r="P12" s="28">
        <v>3</v>
      </c>
      <c r="Q12" s="48">
        <v>46679</v>
      </c>
      <c r="R12" s="44">
        <v>864</v>
      </c>
      <c r="S12" s="46">
        <v>288</v>
      </c>
      <c r="T12">
        <v>864</v>
      </c>
      <c r="V12" t="s">
        <v>184</v>
      </c>
      <c r="W12" s="47">
        <v>3</v>
      </c>
      <c r="X12" s="28" t="s">
        <v>185</v>
      </c>
    </row>
    <row r="13" spans="1:24">
      <c r="A13">
        <v>12</v>
      </c>
      <c r="B13" s="28" t="s">
        <v>170</v>
      </c>
      <c r="C13" s="28" t="s">
        <v>171</v>
      </c>
      <c r="D13" t="s">
        <v>172</v>
      </c>
      <c r="E13">
        <v>180</v>
      </c>
      <c r="F13" t="s">
        <v>133</v>
      </c>
      <c r="G13" s="44">
        <v>15</v>
      </c>
      <c r="H13" s="44">
        <v>15</v>
      </c>
      <c r="I13" s="45">
        <v>5.6539032479999998</v>
      </c>
      <c r="J13" s="45">
        <v>31.5</v>
      </c>
      <c r="K13" t="s">
        <v>134</v>
      </c>
      <c r="L13">
        <v>2.1</v>
      </c>
      <c r="M13" s="45">
        <v>0.37692688320000001</v>
      </c>
      <c r="N13">
        <v>12</v>
      </c>
      <c r="O13" t="s">
        <v>135</v>
      </c>
      <c r="P13" s="28">
        <v>15</v>
      </c>
      <c r="Q13" s="48">
        <v>46540</v>
      </c>
      <c r="R13" s="44">
        <v>180</v>
      </c>
      <c r="S13" s="46">
        <v>12</v>
      </c>
      <c r="T13">
        <v>180</v>
      </c>
      <c r="V13" t="s">
        <v>173</v>
      </c>
      <c r="W13" s="47">
        <v>15</v>
      </c>
      <c r="X13" s="28" t="s">
        <v>174</v>
      </c>
    </row>
    <row r="14" spans="1:24">
      <c r="A14">
        <v>13</v>
      </c>
      <c r="B14" s="28" t="s">
        <v>138</v>
      </c>
      <c r="C14" s="28" t="s">
        <v>139</v>
      </c>
      <c r="D14" t="s">
        <v>140</v>
      </c>
      <c r="E14">
        <v>72</v>
      </c>
      <c r="F14" t="s">
        <v>133</v>
      </c>
      <c r="G14" s="44">
        <v>6</v>
      </c>
      <c r="H14" s="44">
        <v>6</v>
      </c>
      <c r="I14" s="45">
        <v>5.4897563028</v>
      </c>
      <c r="J14" s="45">
        <v>95.4</v>
      </c>
      <c r="K14" t="s">
        <v>134</v>
      </c>
      <c r="L14">
        <v>15.9</v>
      </c>
      <c r="M14" s="45">
        <v>0.91495938379999997</v>
      </c>
      <c r="N14">
        <v>12</v>
      </c>
      <c r="O14" t="s">
        <v>135</v>
      </c>
      <c r="P14" s="28">
        <v>6</v>
      </c>
      <c r="Q14" s="48">
        <v>46541</v>
      </c>
      <c r="R14" s="44">
        <v>72</v>
      </c>
      <c r="S14" s="46">
        <v>12</v>
      </c>
      <c r="T14">
        <v>72</v>
      </c>
      <c r="V14" t="s">
        <v>141</v>
      </c>
      <c r="W14" s="47">
        <v>6</v>
      </c>
      <c r="X14" s="28" t="s">
        <v>142</v>
      </c>
    </row>
    <row r="15" spans="1:24">
      <c r="A15">
        <v>14</v>
      </c>
      <c r="B15" s="28" t="s">
        <v>214</v>
      </c>
      <c r="C15" s="28" t="s">
        <v>215</v>
      </c>
      <c r="D15" t="s">
        <v>216</v>
      </c>
      <c r="E15">
        <v>480</v>
      </c>
      <c r="F15" t="s">
        <v>133</v>
      </c>
      <c r="G15" s="44">
        <v>10</v>
      </c>
      <c r="H15" s="44">
        <v>10</v>
      </c>
      <c r="I15" s="45">
        <v>9.4945217996999993</v>
      </c>
      <c r="J15" s="45">
        <v>110</v>
      </c>
      <c r="K15" t="s">
        <v>134</v>
      </c>
      <c r="L15">
        <v>11</v>
      </c>
      <c r="M15" s="45">
        <v>0.94945217996999998</v>
      </c>
      <c r="N15">
        <v>48</v>
      </c>
      <c r="O15" t="s">
        <v>135</v>
      </c>
      <c r="P15" s="28">
        <v>10</v>
      </c>
      <c r="Q15" s="48">
        <v>46545</v>
      </c>
      <c r="R15" s="44">
        <v>480</v>
      </c>
      <c r="S15" s="46">
        <v>48</v>
      </c>
      <c r="T15">
        <v>480</v>
      </c>
      <c r="V15" t="s">
        <v>217</v>
      </c>
      <c r="W15" s="47">
        <v>10</v>
      </c>
      <c r="X15" s="28" t="s">
        <v>218</v>
      </c>
    </row>
    <row r="16" spans="1:24">
      <c r="A16">
        <v>15</v>
      </c>
      <c r="B16" s="28" t="s">
        <v>204</v>
      </c>
      <c r="C16" s="28" t="s">
        <v>205</v>
      </c>
      <c r="D16" t="s">
        <v>206</v>
      </c>
      <c r="E16">
        <v>840</v>
      </c>
      <c r="F16" t="s">
        <v>133</v>
      </c>
      <c r="G16" s="44">
        <v>70</v>
      </c>
      <c r="H16" s="44">
        <v>70</v>
      </c>
      <c r="I16" s="45">
        <v>125.503951419</v>
      </c>
      <c r="J16" s="45">
        <v>462</v>
      </c>
      <c r="K16" t="s">
        <v>134</v>
      </c>
      <c r="L16">
        <v>6.6</v>
      </c>
      <c r="M16" s="45">
        <v>1.7929135917000001</v>
      </c>
      <c r="N16">
        <v>12</v>
      </c>
      <c r="O16" t="s">
        <v>135</v>
      </c>
      <c r="P16" s="28">
        <v>70</v>
      </c>
      <c r="R16" s="44">
        <v>840</v>
      </c>
      <c r="S16" s="46">
        <v>12</v>
      </c>
      <c r="T16">
        <v>840</v>
      </c>
      <c r="V16" t="s">
        <v>207</v>
      </c>
      <c r="W16" s="47">
        <v>70</v>
      </c>
      <c r="X16" s="28" t="s">
        <v>208</v>
      </c>
    </row>
    <row r="17" spans="1:24">
      <c r="A17">
        <v>16</v>
      </c>
      <c r="B17" s="28" t="s">
        <v>209</v>
      </c>
      <c r="C17" s="28" t="s">
        <v>210</v>
      </c>
      <c r="D17" t="s">
        <v>211</v>
      </c>
      <c r="E17">
        <v>576</v>
      </c>
      <c r="F17" t="s">
        <v>133</v>
      </c>
      <c r="G17" s="44">
        <v>48</v>
      </c>
      <c r="H17" s="44">
        <v>48</v>
      </c>
      <c r="I17" s="45">
        <v>68.16</v>
      </c>
      <c r="J17" s="45">
        <v>206.39999999999998</v>
      </c>
      <c r="K17" t="s">
        <v>134</v>
      </c>
      <c r="L17">
        <v>4.3</v>
      </c>
      <c r="M17" s="45">
        <v>1.42</v>
      </c>
      <c r="N17">
        <v>12</v>
      </c>
      <c r="O17" t="s">
        <v>135</v>
      </c>
      <c r="P17" s="28">
        <v>48</v>
      </c>
      <c r="R17" s="44">
        <v>576</v>
      </c>
      <c r="S17" s="46">
        <v>12</v>
      </c>
      <c r="T17">
        <v>576</v>
      </c>
      <c r="V17" t="s">
        <v>212</v>
      </c>
      <c r="W17" s="47">
        <v>48</v>
      </c>
      <c r="X17" s="28" t="s">
        <v>213</v>
      </c>
    </row>
    <row r="18" spans="1:24">
      <c r="A18">
        <v>17</v>
      </c>
      <c r="B18" s="28" t="s">
        <v>186</v>
      </c>
      <c r="C18" s="28" t="s">
        <v>187</v>
      </c>
      <c r="D18" t="s">
        <v>188</v>
      </c>
      <c r="E18">
        <v>12</v>
      </c>
      <c r="F18" t="s">
        <v>133</v>
      </c>
      <c r="G18" s="44">
        <v>1</v>
      </c>
      <c r="H18" s="44">
        <v>1</v>
      </c>
      <c r="I18" s="45">
        <v>0.84774010649999998</v>
      </c>
      <c r="J18" s="45">
        <v>14.5</v>
      </c>
      <c r="K18" t="s">
        <v>134</v>
      </c>
      <c r="L18">
        <v>14.5</v>
      </c>
      <c r="M18" s="45">
        <v>0.84774010649999998</v>
      </c>
      <c r="N18">
        <v>12</v>
      </c>
      <c r="O18" t="s">
        <v>189</v>
      </c>
      <c r="P18" s="28">
        <v>1</v>
      </c>
      <c r="Q18" s="48">
        <v>47185</v>
      </c>
      <c r="R18" s="44">
        <v>12</v>
      </c>
      <c r="S18" s="46">
        <v>12</v>
      </c>
      <c r="T18">
        <v>12</v>
      </c>
      <c r="V18" t="s">
        <v>163</v>
      </c>
      <c r="W18" s="47">
        <v>1</v>
      </c>
      <c r="X18" s="28" t="s">
        <v>190</v>
      </c>
    </row>
    <row r="19" spans="1:24">
      <c r="A19">
        <v>18</v>
      </c>
      <c r="B19" s="28" t="s">
        <v>165</v>
      </c>
      <c r="C19" s="28" t="s">
        <v>166</v>
      </c>
      <c r="D19" t="s">
        <v>167</v>
      </c>
      <c r="E19">
        <v>96</v>
      </c>
      <c r="F19" t="s">
        <v>133</v>
      </c>
      <c r="G19" s="44">
        <v>16</v>
      </c>
      <c r="H19" s="44">
        <v>16</v>
      </c>
      <c r="I19" s="45">
        <v>75.801359087999998</v>
      </c>
      <c r="J19" s="45">
        <v>328</v>
      </c>
      <c r="K19" t="s">
        <v>134</v>
      </c>
      <c r="L19">
        <v>20.5</v>
      </c>
      <c r="M19" s="45">
        <v>4.7375849429999999</v>
      </c>
      <c r="N19">
        <v>6</v>
      </c>
      <c r="O19" t="s">
        <v>135</v>
      </c>
      <c r="P19" s="28">
        <v>16</v>
      </c>
      <c r="Q19" s="48">
        <v>47154</v>
      </c>
      <c r="R19" s="44">
        <v>96</v>
      </c>
      <c r="S19" s="46">
        <v>6</v>
      </c>
      <c r="T19">
        <v>96</v>
      </c>
      <c r="V19" t="s">
        <v>168</v>
      </c>
      <c r="W19" s="47">
        <v>16</v>
      </c>
      <c r="X19" s="28" t="s">
        <v>169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0"/>
  <sheetViews>
    <sheetView workbookViewId="0">
      <selection activeCell="A2" sqref="A2:N20"/>
    </sheetView>
  </sheetViews>
  <sheetFormatPr defaultRowHeight="16.5"/>
  <cols>
    <col min="1" max="2" width="10.25" bestFit="1" customWidth="1"/>
    <col min="3" max="3" width="7.5" bestFit="1" customWidth="1"/>
    <col min="4" max="4" width="23.875" bestFit="1" customWidth="1"/>
    <col min="5" max="5" width="10.25" bestFit="1" customWidth="1"/>
    <col min="6" max="6" width="6" bestFit="1" customWidth="1"/>
    <col min="7" max="10" width="10.25" bestFit="1" customWidth="1"/>
    <col min="11" max="11" width="9.5" bestFit="1" customWidth="1"/>
    <col min="12" max="12" width="6" bestFit="1" customWidth="1"/>
    <col min="13" max="13" width="10.25" bestFit="1" customWidth="1"/>
    <col min="14" max="14" width="10.25" style="25" bestFit="1" customWidth="1"/>
    <col min="15" max="17" width="10.25" bestFit="1" customWidth="1"/>
    <col min="18" max="18" width="13.25" bestFit="1" customWidth="1"/>
    <col min="19" max="19" width="6" bestFit="1" customWidth="1"/>
    <col min="20" max="21" width="8.125" bestFit="1" customWidth="1"/>
    <col min="22" max="22" width="10.25" bestFit="1" customWidth="1"/>
  </cols>
  <sheetData>
    <row r="1" spans="1:23">
      <c r="A1" s="43" t="s">
        <v>226</v>
      </c>
      <c r="B1" s="43" t="s">
        <v>109</v>
      </c>
      <c r="C1" s="43" t="s">
        <v>110</v>
      </c>
      <c r="D1" s="43" t="s">
        <v>111</v>
      </c>
      <c r="E1" s="43" t="s">
        <v>114</v>
      </c>
      <c r="F1" s="43" t="s">
        <v>227</v>
      </c>
      <c r="G1" s="43" t="s">
        <v>228</v>
      </c>
      <c r="H1" s="43" t="s">
        <v>229</v>
      </c>
      <c r="I1" s="43" t="s">
        <v>230</v>
      </c>
      <c r="J1" s="43" t="s">
        <v>231</v>
      </c>
      <c r="K1" s="43" t="s">
        <v>232</v>
      </c>
      <c r="L1" s="43" t="s">
        <v>233</v>
      </c>
      <c r="M1" s="43" t="s">
        <v>221</v>
      </c>
      <c r="N1" s="63" t="s">
        <v>234</v>
      </c>
      <c r="O1" s="43" t="s">
        <v>235</v>
      </c>
      <c r="P1" s="43" t="s">
        <v>121</v>
      </c>
      <c r="Q1" s="43" t="s">
        <v>127</v>
      </c>
      <c r="R1" s="52" t="s">
        <v>226</v>
      </c>
      <c r="S1" s="52" t="s">
        <v>236</v>
      </c>
      <c r="T1" s="52" t="s">
        <v>116</v>
      </c>
      <c r="U1" s="52" t="s">
        <v>237</v>
      </c>
      <c r="V1" s="52" t="s">
        <v>238</v>
      </c>
      <c r="W1" s="53"/>
    </row>
    <row r="2" spans="1:23">
      <c r="A2" s="60">
        <v>1</v>
      </c>
      <c r="B2" s="50" t="s">
        <v>165</v>
      </c>
      <c r="C2" s="50" t="s">
        <v>166</v>
      </c>
      <c r="D2" s="49" t="s">
        <v>167</v>
      </c>
      <c r="E2" s="61">
        <v>16</v>
      </c>
      <c r="F2" s="49" t="s">
        <v>133</v>
      </c>
      <c r="G2" s="61">
        <v>75.801359087999998</v>
      </c>
      <c r="H2" s="61">
        <v>328</v>
      </c>
      <c r="I2" s="49">
        <v>20.5</v>
      </c>
      <c r="J2" s="51">
        <v>4.7375849429999999</v>
      </c>
      <c r="K2" s="49" t="s">
        <v>239</v>
      </c>
      <c r="L2" s="49">
        <v>1</v>
      </c>
      <c r="M2" s="62">
        <v>96</v>
      </c>
      <c r="N2" s="64" t="s">
        <v>135</v>
      </c>
      <c r="O2" s="49">
        <v>16</v>
      </c>
      <c r="P2" s="49">
        <v>6</v>
      </c>
      <c r="Q2" s="49"/>
      <c r="R2" s="53">
        <v>1</v>
      </c>
      <c r="S2" s="53">
        <f>COUNTIF($A$2:$A$20, R2)</f>
        <v>1</v>
      </c>
      <c r="T2" s="54">
        <f>SUMIFS($G$2:$G$20, $A$2:$A$20, R2)</f>
        <v>75.801359087999998</v>
      </c>
      <c r="U2" s="54">
        <f>SUMIFS($H$2:$H$20, $A$2:$A$20, R2)</f>
        <v>328</v>
      </c>
      <c r="V2" s="55">
        <f>IF(T2&gt;0, T2/工作表1!$C$11, 0)</f>
        <v>1.3782065288727272</v>
      </c>
      <c r="W2" s="53"/>
    </row>
    <row r="3" spans="1:23">
      <c r="A3" s="60">
        <v>2</v>
      </c>
      <c r="B3" s="50" t="s">
        <v>204</v>
      </c>
      <c r="C3" s="50" t="s">
        <v>205</v>
      </c>
      <c r="D3" s="49" t="s">
        <v>206</v>
      </c>
      <c r="E3" s="61">
        <v>35</v>
      </c>
      <c r="F3" s="49" t="s">
        <v>133</v>
      </c>
      <c r="G3" s="61">
        <v>62.751975709500002</v>
      </c>
      <c r="H3" s="61">
        <v>231</v>
      </c>
      <c r="I3" s="49">
        <v>6.6</v>
      </c>
      <c r="J3" s="51">
        <v>1.7929135917000001</v>
      </c>
      <c r="K3" s="49" t="s">
        <v>239</v>
      </c>
      <c r="L3" s="49">
        <v>2</v>
      </c>
      <c r="M3" s="62">
        <v>420</v>
      </c>
      <c r="N3" s="64" t="s">
        <v>135</v>
      </c>
      <c r="O3" s="49">
        <v>35</v>
      </c>
      <c r="P3" s="49">
        <v>12</v>
      </c>
      <c r="Q3" s="49"/>
      <c r="R3" s="53">
        <v>2</v>
      </c>
      <c r="S3" s="53">
        <f>COUNTIF($A$2:$A$20, R3)</f>
        <v>1</v>
      </c>
      <c r="T3" s="54">
        <f>SUMIFS($G$2:$G$20, $A$2:$A$20, R3)</f>
        <v>62.751975709500002</v>
      </c>
      <c r="U3" s="54">
        <f>SUMIFS($H$2:$H$20, $A$2:$A$20, R3)</f>
        <v>231</v>
      </c>
      <c r="V3" s="55">
        <f>IF(T3&gt;0, T3/工作表1!$C$11, 0)</f>
        <v>1.1409450129000001</v>
      </c>
      <c r="W3" s="53"/>
    </row>
    <row r="4" spans="1:23">
      <c r="A4" s="60">
        <v>3</v>
      </c>
      <c r="B4" s="50" t="s">
        <v>204</v>
      </c>
      <c r="C4" s="50" t="s">
        <v>205</v>
      </c>
      <c r="D4" s="49" t="s">
        <v>206</v>
      </c>
      <c r="E4" s="61">
        <v>35</v>
      </c>
      <c r="F4" s="49" t="s">
        <v>133</v>
      </c>
      <c r="G4" s="61">
        <v>62.751975709500002</v>
      </c>
      <c r="H4" s="61">
        <v>231</v>
      </c>
      <c r="I4" s="49">
        <v>6.6</v>
      </c>
      <c r="J4" s="51">
        <v>1.7929135917000001</v>
      </c>
      <c r="K4" s="49" t="s">
        <v>239</v>
      </c>
      <c r="L4" s="49">
        <v>3</v>
      </c>
      <c r="M4" s="62">
        <v>420</v>
      </c>
      <c r="N4" s="64" t="s">
        <v>135</v>
      </c>
      <c r="O4" s="49">
        <v>35</v>
      </c>
      <c r="P4" s="49">
        <v>12</v>
      </c>
      <c r="Q4" s="49"/>
      <c r="R4" s="53">
        <v>3</v>
      </c>
      <c r="S4" s="53">
        <f>COUNTIF($A$2:$A$20, R4)</f>
        <v>1</v>
      </c>
      <c r="T4" s="54">
        <f>SUMIFS($G$2:$G$20, $A$2:$A$20, R4)</f>
        <v>62.751975709500002</v>
      </c>
      <c r="U4" s="54">
        <f>SUMIFS($H$2:$H$20, $A$2:$A$20, R4)</f>
        <v>231</v>
      </c>
      <c r="V4" s="55">
        <f>IF(T4&gt;0, T4/工作表1!$C$11, 0)</f>
        <v>1.1409450129000001</v>
      </c>
      <c r="W4" s="53"/>
    </row>
    <row r="5" spans="1:23">
      <c r="A5" s="60">
        <v>4</v>
      </c>
      <c r="B5" s="50" t="s">
        <v>209</v>
      </c>
      <c r="C5" s="50" t="s">
        <v>210</v>
      </c>
      <c r="D5" s="49" t="s">
        <v>211</v>
      </c>
      <c r="E5" s="61">
        <v>48</v>
      </c>
      <c r="F5" s="49" t="s">
        <v>133</v>
      </c>
      <c r="G5" s="61">
        <v>68.16</v>
      </c>
      <c r="H5" s="61">
        <v>206.39999999999998</v>
      </c>
      <c r="I5" s="49">
        <v>4.3</v>
      </c>
      <c r="J5" s="51">
        <v>1.42</v>
      </c>
      <c r="K5" s="49" t="s">
        <v>239</v>
      </c>
      <c r="L5" s="49">
        <v>4</v>
      </c>
      <c r="M5" s="62">
        <v>576</v>
      </c>
      <c r="N5" s="64" t="s">
        <v>135</v>
      </c>
      <c r="O5" s="49">
        <v>48</v>
      </c>
      <c r="P5" s="49">
        <v>12</v>
      </c>
      <c r="Q5" s="49"/>
      <c r="R5" s="53">
        <v>4</v>
      </c>
      <c r="S5" s="53">
        <f>COUNTIF($A$2:$A$20, R5)</f>
        <v>1</v>
      </c>
      <c r="T5" s="54">
        <f>SUMIFS($G$2:$G$20, $A$2:$A$20, R5)</f>
        <v>68.16</v>
      </c>
      <c r="U5" s="54">
        <f>SUMIFS($H$2:$H$20, $A$2:$A$20, R5)</f>
        <v>206.39999999999998</v>
      </c>
      <c r="V5" s="55">
        <f>IF(T5&gt;0, T5/工作表1!$C$11, 0)</f>
        <v>1.2392727272727273</v>
      </c>
      <c r="W5" s="53"/>
    </row>
    <row r="6" spans="1:23">
      <c r="A6" s="60">
        <v>5</v>
      </c>
      <c r="B6" s="28" t="s">
        <v>130</v>
      </c>
      <c r="C6" s="28" t="s">
        <v>131</v>
      </c>
      <c r="D6" t="s">
        <v>132</v>
      </c>
      <c r="E6" s="45">
        <v>4</v>
      </c>
      <c r="F6" t="s">
        <v>133</v>
      </c>
      <c r="G6" s="45">
        <v>3.0376550400000002</v>
      </c>
      <c r="H6" s="45">
        <v>52</v>
      </c>
      <c r="I6">
        <v>13</v>
      </c>
      <c r="J6" s="44">
        <v>0.75941376000000005</v>
      </c>
      <c r="K6" t="s">
        <v>244</v>
      </c>
      <c r="L6">
        <v>9</v>
      </c>
      <c r="M6" s="47">
        <v>48</v>
      </c>
      <c r="N6" s="25" t="s">
        <v>135</v>
      </c>
      <c r="O6">
        <v>56</v>
      </c>
      <c r="P6">
        <v>12</v>
      </c>
      <c r="R6" s="53">
        <v>5</v>
      </c>
      <c r="S6" s="53">
        <f>COUNTIF($A$2:$A$20, R6)</f>
        <v>7</v>
      </c>
      <c r="T6" s="54">
        <f>SUMIFS($G$2:$G$20, $A$2:$A$20, R6)</f>
        <v>37.166949112159998</v>
      </c>
      <c r="U6" s="54">
        <f>SUMIFS($H$2:$H$20, $A$2:$A$20, R6)</f>
        <v>444.69999999999993</v>
      </c>
      <c r="V6" s="55">
        <f>IF(T6&gt;0, T6/工作表1!$C$11, 0)</f>
        <v>0.67576271113018183</v>
      </c>
      <c r="W6" s="53"/>
    </row>
    <row r="7" spans="1:23">
      <c r="A7" s="60">
        <v>5</v>
      </c>
      <c r="B7" s="28" t="s">
        <v>195</v>
      </c>
      <c r="C7" s="28" t="s">
        <v>196</v>
      </c>
      <c r="D7" t="s">
        <v>197</v>
      </c>
      <c r="E7" s="45">
        <v>6</v>
      </c>
      <c r="F7" t="s">
        <v>133</v>
      </c>
      <c r="G7" s="45">
        <v>5.6433384126000004</v>
      </c>
      <c r="H7" s="45">
        <v>78</v>
      </c>
      <c r="I7">
        <v>13</v>
      </c>
      <c r="J7" s="44">
        <v>0.94055640210000002</v>
      </c>
      <c r="K7" t="s">
        <v>241</v>
      </c>
      <c r="L7">
        <v>6</v>
      </c>
      <c r="M7" s="47">
        <v>72</v>
      </c>
      <c r="N7" s="25" t="s">
        <v>135</v>
      </c>
      <c r="O7">
        <v>96</v>
      </c>
      <c r="P7">
        <v>24</v>
      </c>
      <c r="R7" s="53">
        <v>6</v>
      </c>
      <c r="S7" s="53">
        <f>COUNTIF($A$2:$A$20, R7)</f>
        <v>8</v>
      </c>
      <c r="T7" s="54">
        <f>SUMIFS($G$2:$G$20, $A$2:$A$20, R7)</f>
        <v>32.923160429774995</v>
      </c>
      <c r="U7" s="54">
        <f>SUMIFS($H$2:$H$20, $A$2:$A$20, R7)</f>
        <v>445.5</v>
      </c>
      <c r="V7" s="55">
        <f>IF(T7&gt;0, T7/工作表1!$C$11, 0)</f>
        <v>0.59860291690499989</v>
      </c>
      <c r="W7" s="53"/>
    </row>
    <row r="8" spans="1:23">
      <c r="A8" s="60">
        <v>5</v>
      </c>
      <c r="B8" s="28" t="s">
        <v>160</v>
      </c>
      <c r="C8" s="28" t="s">
        <v>161</v>
      </c>
      <c r="D8" t="s">
        <v>162</v>
      </c>
      <c r="E8" s="45">
        <v>1</v>
      </c>
      <c r="F8" t="s">
        <v>133</v>
      </c>
      <c r="G8" s="45">
        <v>0.84046253256000003</v>
      </c>
      <c r="H8" s="45">
        <v>10.6</v>
      </c>
      <c r="I8">
        <v>10.6</v>
      </c>
      <c r="J8" s="44">
        <v>0.84046253256000003</v>
      </c>
      <c r="K8" t="s">
        <v>243</v>
      </c>
      <c r="L8">
        <v>8</v>
      </c>
      <c r="M8" s="47">
        <v>24</v>
      </c>
      <c r="N8" s="25" t="s">
        <v>135</v>
      </c>
      <c r="O8">
        <v>120</v>
      </c>
      <c r="P8">
        <v>12</v>
      </c>
      <c r="R8" s="56">
        <v>7</v>
      </c>
      <c r="S8" s="56">
        <f>COUNTIF($A$2:$A$20, R8)</f>
        <v>0</v>
      </c>
      <c r="T8" s="57">
        <f>SUMIFS($G$2:$G$20, $A$2:$A$20, R8)</f>
        <v>0</v>
      </c>
      <c r="U8" s="57">
        <f>SUMIFS($H$2:$H$20, $A$2:$A$20, R8)</f>
        <v>0</v>
      </c>
      <c r="V8" s="58">
        <f>IF(T8&gt;0, T8/工作表1!$C$11, 0)</f>
        <v>0</v>
      </c>
      <c r="W8" s="56" t="s">
        <v>245</v>
      </c>
    </row>
    <row r="9" spans="1:23">
      <c r="A9" s="60">
        <v>5</v>
      </c>
      <c r="B9" s="28" t="s">
        <v>143</v>
      </c>
      <c r="C9" s="28" t="s">
        <v>144</v>
      </c>
      <c r="D9" t="s">
        <v>145</v>
      </c>
      <c r="E9" s="45">
        <v>12</v>
      </c>
      <c r="F9" t="s">
        <v>133</v>
      </c>
      <c r="G9" s="45">
        <v>6.9866065919999993</v>
      </c>
      <c r="H9" s="45">
        <v>97.199999999999989</v>
      </c>
      <c r="I9">
        <v>8.1</v>
      </c>
      <c r="J9" s="44">
        <v>0.58221721599999998</v>
      </c>
      <c r="K9" t="s">
        <v>244</v>
      </c>
      <c r="L9">
        <v>10</v>
      </c>
      <c r="M9" s="47">
        <v>288</v>
      </c>
      <c r="N9" s="25" t="s">
        <v>135</v>
      </c>
      <c r="O9">
        <v>108</v>
      </c>
      <c r="P9">
        <v>12</v>
      </c>
    </row>
    <row r="10" spans="1:23">
      <c r="A10" s="60">
        <v>5</v>
      </c>
      <c r="B10" s="28" t="s">
        <v>199</v>
      </c>
      <c r="C10" s="28" t="s">
        <v>200</v>
      </c>
      <c r="D10" t="s">
        <v>201</v>
      </c>
      <c r="E10" s="45">
        <v>24</v>
      </c>
      <c r="F10" t="s">
        <v>133</v>
      </c>
      <c r="G10" s="45">
        <v>14.149505663999999</v>
      </c>
      <c r="H10" s="45">
        <v>168</v>
      </c>
      <c r="I10">
        <v>7</v>
      </c>
      <c r="J10" s="44">
        <v>0.58956273599999998</v>
      </c>
      <c r="K10" t="s">
        <v>244</v>
      </c>
      <c r="L10">
        <v>13</v>
      </c>
      <c r="M10" s="47">
        <v>288</v>
      </c>
      <c r="N10" s="25" t="s">
        <v>135</v>
      </c>
      <c r="O10">
        <v>180</v>
      </c>
      <c r="P10">
        <v>12</v>
      </c>
    </row>
    <row r="11" spans="1:23">
      <c r="A11" s="60">
        <v>5</v>
      </c>
      <c r="B11" s="28" t="s">
        <v>175</v>
      </c>
      <c r="C11" s="28" t="s">
        <v>176</v>
      </c>
      <c r="D11" t="s">
        <v>177</v>
      </c>
      <c r="E11" s="45">
        <v>2</v>
      </c>
      <c r="F11" t="s">
        <v>133</v>
      </c>
      <c r="G11" s="45">
        <v>0.85547762299999996</v>
      </c>
      <c r="H11" s="45">
        <v>7.4</v>
      </c>
      <c r="I11">
        <v>3.7</v>
      </c>
      <c r="J11" s="44">
        <v>0.42773881149999998</v>
      </c>
      <c r="K11" t="s">
        <v>244</v>
      </c>
      <c r="L11">
        <v>12</v>
      </c>
      <c r="M11" s="47">
        <v>24</v>
      </c>
      <c r="N11" s="25" t="s">
        <v>178</v>
      </c>
      <c r="O11">
        <v>60</v>
      </c>
      <c r="P11">
        <v>12</v>
      </c>
      <c r="R11" s="52" t="s">
        <v>246</v>
      </c>
      <c r="S11" s="52" t="s">
        <v>236</v>
      </c>
      <c r="T11" s="52" t="s">
        <v>116</v>
      </c>
      <c r="U11" s="52" t="s">
        <v>237</v>
      </c>
      <c r="V11" s="52" t="s">
        <v>247</v>
      </c>
    </row>
    <row r="12" spans="1:23">
      <c r="A12" s="60">
        <v>5</v>
      </c>
      <c r="B12" s="28" t="s">
        <v>170</v>
      </c>
      <c r="C12" s="28" t="s">
        <v>171</v>
      </c>
      <c r="D12" t="s">
        <v>172</v>
      </c>
      <c r="E12" s="45">
        <v>15</v>
      </c>
      <c r="F12" t="s">
        <v>133</v>
      </c>
      <c r="G12" s="45">
        <v>5.6539032479999998</v>
      </c>
      <c r="H12" s="45">
        <v>31.5</v>
      </c>
      <c r="I12">
        <v>2.1</v>
      </c>
      <c r="J12" s="44">
        <v>0.37692688320000001</v>
      </c>
      <c r="K12" t="s">
        <v>244</v>
      </c>
      <c r="L12">
        <v>18</v>
      </c>
      <c r="M12" s="47">
        <v>180</v>
      </c>
      <c r="N12" s="25" t="s">
        <v>135</v>
      </c>
      <c r="O12">
        <v>60</v>
      </c>
      <c r="P12">
        <v>24</v>
      </c>
      <c r="R12" s="53" t="s">
        <v>248</v>
      </c>
      <c r="S12" s="53">
        <v>1</v>
      </c>
      <c r="T12" s="54">
        <v>0.84046253256000003</v>
      </c>
      <c r="U12" s="54">
        <v>10.6</v>
      </c>
      <c r="V12" s="54">
        <v>0.1</v>
      </c>
    </row>
    <row r="13" spans="1:23">
      <c r="A13" s="60">
        <v>6</v>
      </c>
      <c r="B13" s="28" t="s">
        <v>138</v>
      </c>
      <c r="C13" s="28" t="s">
        <v>139</v>
      </c>
      <c r="D13" t="s">
        <v>140</v>
      </c>
      <c r="E13" s="45">
        <v>6</v>
      </c>
      <c r="F13" t="s">
        <v>133</v>
      </c>
      <c r="G13" s="45">
        <v>5.4897563028</v>
      </c>
      <c r="H13" s="45">
        <v>95.4</v>
      </c>
      <c r="I13">
        <v>15.9</v>
      </c>
      <c r="J13" s="44">
        <v>0.91495938379999997</v>
      </c>
      <c r="K13" t="s">
        <v>242</v>
      </c>
      <c r="L13">
        <v>7</v>
      </c>
      <c r="M13" s="47">
        <v>72</v>
      </c>
      <c r="N13" s="25" t="s">
        <v>135</v>
      </c>
      <c r="O13">
        <v>48</v>
      </c>
      <c r="P13">
        <v>288</v>
      </c>
      <c r="R13" s="53" t="s">
        <v>249</v>
      </c>
      <c r="S13" s="53">
        <v>1</v>
      </c>
      <c r="T13" s="54">
        <v>5.6433384126000004</v>
      </c>
      <c r="U13" s="54">
        <v>78</v>
      </c>
      <c r="V13" s="54">
        <v>0.2</v>
      </c>
    </row>
    <row r="14" spans="1:23">
      <c r="A14" s="60">
        <v>6</v>
      </c>
      <c r="B14" s="28" t="s">
        <v>186</v>
      </c>
      <c r="C14" s="28" t="s">
        <v>187</v>
      </c>
      <c r="D14" t="s">
        <v>188</v>
      </c>
      <c r="E14" s="45">
        <v>1</v>
      </c>
      <c r="F14" t="s">
        <v>133</v>
      </c>
      <c r="G14" s="45">
        <v>0.84774010649999998</v>
      </c>
      <c r="H14" s="45">
        <v>14.5</v>
      </c>
      <c r="I14">
        <v>14.5</v>
      </c>
      <c r="J14" s="44">
        <v>0.84774010649999998</v>
      </c>
      <c r="K14" t="s">
        <v>244</v>
      </c>
      <c r="L14">
        <v>19</v>
      </c>
      <c r="M14" s="47">
        <v>12</v>
      </c>
      <c r="N14" s="25" t="s">
        <v>189</v>
      </c>
      <c r="O14">
        <v>50</v>
      </c>
      <c r="P14">
        <v>10</v>
      </c>
      <c r="R14" s="53" t="s">
        <v>250</v>
      </c>
      <c r="S14" s="53">
        <v>1</v>
      </c>
      <c r="T14" s="54">
        <v>5.4897563028</v>
      </c>
      <c r="U14" s="54">
        <v>95.4</v>
      </c>
      <c r="V14" s="54">
        <v>0.1</v>
      </c>
    </row>
    <row r="15" spans="1:23">
      <c r="A15" s="60">
        <v>6</v>
      </c>
      <c r="B15" s="28" t="s">
        <v>214</v>
      </c>
      <c r="C15" s="28" t="s">
        <v>215</v>
      </c>
      <c r="D15" t="s">
        <v>216</v>
      </c>
      <c r="E15" s="45">
        <v>10</v>
      </c>
      <c r="F15" t="s">
        <v>133</v>
      </c>
      <c r="G15" s="45">
        <v>9.4945217996999993</v>
      </c>
      <c r="H15" s="45">
        <v>110</v>
      </c>
      <c r="I15">
        <v>11</v>
      </c>
      <c r="J15" s="44">
        <v>0.94945217996999998</v>
      </c>
      <c r="K15" t="s">
        <v>240</v>
      </c>
      <c r="L15">
        <v>5</v>
      </c>
      <c r="M15" s="47">
        <v>480</v>
      </c>
      <c r="N15" s="25" t="s">
        <v>135</v>
      </c>
      <c r="O15">
        <v>108</v>
      </c>
      <c r="P15">
        <v>12</v>
      </c>
      <c r="R15" s="53" t="s">
        <v>251</v>
      </c>
      <c r="S15" s="53">
        <v>1</v>
      </c>
      <c r="T15" s="54">
        <v>9.4945217996999993</v>
      </c>
      <c r="U15" s="54">
        <v>110</v>
      </c>
      <c r="V15" s="54">
        <v>0.2</v>
      </c>
    </row>
    <row r="16" spans="1:23">
      <c r="A16" s="60">
        <v>6</v>
      </c>
      <c r="B16" s="28" t="s">
        <v>191</v>
      </c>
      <c r="C16" s="28" t="s">
        <v>192</v>
      </c>
      <c r="D16" t="s">
        <v>193</v>
      </c>
      <c r="E16" s="45">
        <v>6</v>
      </c>
      <c r="F16" t="s">
        <v>133</v>
      </c>
      <c r="G16" s="45">
        <v>4.9586582555999996</v>
      </c>
      <c r="H16" s="45">
        <v>65.400000000000006</v>
      </c>
      <c r="I16">
        <v>10.9</v>
      </c>
      <c r="J16" s="44">
        <v>0.82644304260000001</v>
      </c>
      <c r="K16" t="s">
        <v>244</v>
      </c>
      <c r="L16">
        <v>14</v>
      </c>
      <c r="M16" s="47">
        <v>60</v>
      </c>
      <c r="N16" s="25" t="s">
        <v>135</v>
      </c>
      <c r="O16">
        <v>48</v>
      </c>
      <c r="P16">
        <v>12</v>
      </c>
      <c r="R16" s="52" t="s">
        <v>252</v>
      </c>
      <c r="S16" s="52">
        <v>11</v>
      </c>
      <c r="T16" s="59">
        <v>48.622030494274995</v>
      </c>
      <c r="U16" s="59">
        <v>596.19999999999993</v>
      </c>
      <c r="V16" s="59">
        <v>0.9</v>
      </c>
    </row>
    <row r="17" spans="1:16">
      <c r="A17" s="60">
        <v>6</v>
      </c>
      <c r="B17" s="28" t="s">
        <v>148</v>
      </c>
      <c r="C17" s="28" t="s">
        <v>149</v>
      </c>
      <c r="D17" t="s">
        <v>150</v>
      </c>
      <c r="E17" s="45">
        <v>6</v>
      </c>
      <c r="F17" t="s">
        <v>133</v>
      </c>
      <c r="G17" s="45">
        <v>3.4793651717999996</v>
      </c>
      <c r="H17" s="45">
        <v>62.699999999999996</v>
      </c>
      <c r="I17">
        <v>10.45</v>
      </c>
      <c r="J17" s="44">
        <v>0.57989419529999997</v>
      </c>
      <c r="K17" t="s">
        <v>244</v>
      </c>
      <c r="L17">
        <v>11</v>
      </c>
      <c r="M17" s="47">
        <v>144</v>
      </c>
      <c r="N17" s="25" t="s">
        <v>135</v>
      </c>
      <c r="O17">
        <v>108</v>
      </c>
      <c r="P17">
        <v>12</v>
      </c>
    </row>
    <row r="18" spans="1:16">
      <c r="A18" s="60">
        <v>6</v>
      </c>
      <c r="B18" s="28" t="s">
        <v>152</v>
      </c>
      <c r="C18" s="28" t="s">
        <v>153</v>
      </c>
      <c r="D18" t="s">
        <v>154</v>
      </c>
      <c r="E18" s="45">
        <v>6</v>
      </c>
      <c r="F18" t="s">
        <v>133</v>
      </c>
      <c r="G18" s="45">
        <v>2.9531109299999998</v>
      </c>
      <c r="H18" s="45">
        <v>40.799999999999997</v>
      </c>
      <c r="I18">
        <v>6.8</v>
      </c>
      <c r="J18" s="44">
        <v>0.49218515499999999</v>
      </c>
      <c r="K18" t="s">
        <v>244</v>
      </c>
      <c r="L18">
        <v>16</v>
      </c>
      <c r="M18" s="47">
        <v>72</v>
      </c>
      <c r="N18" s="25" t="s">
        <v>135</v>
      </c>
      <c r="O18">
        <v>96</v>
      </c>
      <c r="P18">
        <v>24</v>
      </c>
    </row>
    <row r="19" spans="1:16">
      <c r="A19" s="60">
        <v>6</v>
      </c>
      <c r="B19" s="28" t="s">
        <v>156</v>
      </c>
      <c r="C19" s="28" t="s">
        <v>157</v>
      </c>
      <c r="D19" t="s">
        <v>158</v>
      </c>
      <c r="E19" s="45">
        <v>6</v>
      </c>
      <c r="F19" t="s">
        <v>133</v>
      </c>
      <c r="G19" s="45">
        <v>2.8710099116999999</v>
      </c>
      <c r="H19" s="45">
        <v>40.799999999999997</v>
      </c>
      <c r="I19">
        <v>6.8</v>
      </c>
      <c r="J19" s="44">
        <v>0.47850165195</v>
      </c>
      <c r="K19" t="s">
        <v>244</v>
      </c>
      <c r="L19">
        <v>15</v>
      </c>
      <c r="M19" s="47">
        <v>72</v>
      </c>
      <c r="N19" s="25" t="s">
        <v>135</v>
      </c>
      <c r="O19">
        <v>80</v>
      </c>
      <c r="P19">
        <v>12</v>
      </c>
    </row>
    <row r="20" spans="1:16">
      <c r="A20" s="60">
        <v>6</v>
      </c>
      <c r="B20" s="28" t="s">
        <v>181</v>
      </c>
      <c r="C20" s="28" t="s">
        <v>182</v>
      </c>
      <c r="D20" t="s">
        <v>183</v>
      </c>
      <c r="E20" s="45">
        <v>3</v>
      </c>
      <c r="F20" t="s">
        <v>133</v>
      </c>
      <c r="G20" s="45">
        <v>2.8289979516749999</v>
      </c>
      <c r="H20" s="45">
        <v>15.899999999999999</v>
      </c>
      <c r="I20">
        <v>5.3</v>
      </c>
      <c r="J20" s="44">
        <v>0.94299931722499997</v>
      </c>
      <c r="K20" t="s">
        <v>244</v>
      </c>
      <c r="L20">
        <v>17</v>
      </c>
      <c r="M20" s="47">
        <v>864</v>
      </c>
      <c r="N20" s="25" t="s">
        <v>135</v>
      </c>
      <c r="O20">
        <v>36</v>
      </c>
      <c r="P20">
        <v>48</v>
      </c>
    </row>
  </sheetData>
  <sortState ref="A2:N20">
    <sortCondition ref="A2:A20"/>
    <sortCondition descending="1" ref="I2:I20"/>
  </sortState>
  <phoneticPr fontId="1" type="noConversion"/>
  <dataValidations count="1">
    <dataValidation type="list" allowBlank="1" showInputMessage="1" showErrorMessage="1" promptTitle="調整棧板編號" prompt="更換編號後，右側 O 欄彙總表會即時重算。_x000d__x000a_若要新增一板，請選擇最大數字 + 1。" sqref="A2:A20">
      <formula1>"1,2,3,4,5,6,7"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0"/>
  <sheetViews>
    <sheetView workbookViewId="0"/>
  </sheetViews>
  <sheetFormatPr defaultRowHeight="16.5"/>
  <cols>
    <col min="1" max="3" width="8.125" bestFit="1" customWidth="1"/>
    <col min="4" max="4" width="8.625" bestFit="1" customWidth="1"/>
    <col min="5" max="5" width="8.125" bestFit="1" customWidth="1"/>
    <col min="6" max="6" width="6" bestFit="1" customWidth="1"/>
    <col min="7" max="7" width="7.5" bestFit="1" customWidth="1"/>
    <col min="8" max="8" width="23.875" bestFit="1" customWidth="1"/>
    <col min="9" max="10" width="15" bestFit="1" customWidth="1"/>
    <col min="11" max="11" width="7.125" bestFit="1" customWidth="1"/>
    <col min="12" max="12" width="10.5" style="71" bestFit="1" customWidth="1"/>
    <col min="13" max="13" width="17.375" bestFit="1" customWidth="1"/>
    <col min="14" max="14" width="10.25" bestFit="1" customWidth="1"/>
    <col min="15" max="15" width="10.5" style="71" bestFit="1" customWidth="1"/>
    <col min="16" max="16" width="15" bestFit="1" customWidth="1"/>
    <col min="17" max="17" width="16.125" bestFit="1" customWidth="1"/>
  </cols>
  <sheetData>
    <row r="1" spans="1:17">
      <c r="A1" s="43" t="s">
        <v>254</v>
      </c>
      <c r="B1" s="43" t="s">
        <v>237</v>
      </c>
      <c r="C1" s="43" t="s">
        <v>116</v>
      </c>
      <c r="D1" s="43" t="s">
        <v>255</v>
      </c>
      <c r="E1" s="43" t="s">
        <v>256</v>
      </c>
      <c r="F1" s="43" t="s">
        <v>220</v>
      </c>
      <c r="G1" s="43" t="s">
        <v>110</v>
      </c>
      <c r="H1" s="43" t="s">
        <v>111</v>
      </c>
      <c r="I1" s="43" t="s">
        <v>257</v>
      </c>
      <c r="J1" s="43" t="s">
        <v>258</v>
      </c>
      <c r="K1" s="43" t="s">
        <v>259</v>
      </c>
      <c r="L1" s="70" t="s">
        <v>124</v>
      </c>
      <c r="M1" s="43" t="s">
        <v>260</v>
      </c>
      <c r="N1" s="43" t="s">
        <v>261</v>
      </c>
      <c r="O1" s="70" t="s">
        <v>262</v>
      </c>
      <c r="P1" s="43" t="s">
        <v>263</v>
      </c>
      <c r="Q1" s="43" t="s">
        <v>264</v>
      </c>
    </row>
    <row r="2" spans="1:17">
      <c r="A2" t="s">
        <v>267</v>
      </c>
      <c r="B2">
        <v>328</v>
      </c>
      <c r="C2">
        <v>75.8</v>
      </c>
      <c r="D2" s="68">
        <v>1.3779999999999999</v>
      </c>
      <c r="E2">
        <v>16</v>
      </c>
      <c r="F2" s="28" t="s">
        <v>130</v>
      </c>
      <c r="G2" s="28" t="s">
        <v>166</v>
      </c>
      <c r="H2" t="s">
        <v>167</v>
      </c>
      <c r="I2" t="s">
        <v>168</v>
      </c>
      <c r="J2" t="s">
        <v>268</v>
      </c>
      <c r="K2">
        <v>20.5</v>
      </c>
      <c r="L2" s="71">
        <v>47154</v>
      </c>
      <c r="M2">
        <v>16</v>
      </c>
      <c r="N2" t="s">
        <v>103</v>
      </c>
      <c r="O2" s="71" t="s">
        <v>269</v>
      </c>
      <c r="P2" s="28" t="s">
        <v>169</v>
      </c>
      <c r="Q2" s="28" t="s">
        <v>270</v>
      </c>
    </row>
    <row r="3" spans="1:17">
      <c r="A3" t="s">
        <v>272</v>
      </c>
      <c r="B3">
        <v>231</v>
      </c>
      <c r="C3">
        <v>62.8</v>
      </c>
      <c r="D3" s="68">
        <v>1.141</v>
      </c>
      <c r="E3">
        <v>70</v>
      </c>
      <c r="F3" s="28" t="s">
        <v>130</v>
      </c>
      <c r="G3" s="28" t="s">
        <v>205</v>
      </c>
      <c r="H3" t="s">
        <v>206</v>
      </c>
      <c r="I3" t="s">
        <v>207</v>
      </c>
      <c r="J3" t="s">
        <v>273</v>
      </c>
      <c r="K3">
        <v>6.6</v>
      </c>
      <c r="M3">
        <v>70</v>
      </c>
      <c r="N3" t="s">
        <v>103</v>
      </c>
      <c r="O3" s="71" t="s">
        <v>269</v>
      </c>
      <c r="P3" s="28" t="s">
        <v>208</v>
      </c>
      <c r="Q3" s="28" t="s">
        <v>274</v>
      </c>
    </row>
    <row r="4" spans="1:17">
      <c r="A4" t="s">
        <v>275</v>
      </c>
      <c r="B4">
        <v>231</v>
      </c>
      <c r="C4">
        <v>62.8</v>
      </c>
      <c r="D4" s="68">
        <v>1.141</v>
      </c>
      <c r="E4">
        <v>70</v>
      </c>
      <c r="F4" s="28" t="s">
        <v>130</v>
      </c>
      <c r="G4" s="28" t="s">
        <v>205</v>
      </c>
      <c r="H4" t="s">
        <v>206</v>
      </c>
      <c r="I4" t="s">
        <v>207</v>
      </c>
      <c r="J4" t="s">
        <v>273</v>
      </c>
      <c r="K4">
        <v>6.6</v>
      </c>
      <c r="M4">
        <v>70</v>
      </c>
      <c r="N4" t="s">
        <v>103</v>
      </c>
      <c r="O4" s="71" t="s">
        <v>269</v>
      </c>
      <c r="P4" s="28" t="s">
        <v>208</v>
      </c>
      <c r="Q4" s="28" t="s">
        <v>274</v>
      </c>
    </row>
    <row r="5" spans="1:17">
      <c r="A5" t="s">
        <v>276</v>
      </c>
      <c r="B5">
        <v>206.4</v>
      </c>
      <c r="C5">
        <v>68.2</v>
      </c>
      <c r="D5" s="68">
        <v>1.2390000000000001</v>
      </c>
      <c r="E5">
        <v>48</v>
      </c>
      <c r="F5" s="28" t="s">
        <v>130</v>
      </c>
      <c r="G5" s="28" t="s">
        <v>210</v>
      </c>
      <c r="H5" t="s">
        <v>211</v>
      </c>
      <c r="I5" t="s">
        <v>212</v>
      </c>
      <c r="J5" t="s">
        <v>277</v>
      </c>
      <c r="K5">
        <v>4.3</v>
      </c>
      <c r="M5">
        <v>48</v>
      </c>
      <c r="N5" t="s">
        <v>103</v>
      </c>
      <c r="O5" s="71" t="s">
        <v>269</v>
      </c>
      <c r="P5" s="28" t="s">
        <v>213</v>
      </c>
      <c r="Q5" s="28" t="s">
        <v>278</v>
      </c>
    </row>
    <row r="6" spans="1:17">
      <c r="A6" t="s">
        <v>279</v>
      </c>
      <c r="B6">
        <v>444.7</v>
      </c>
      <c r="C6">
        <v>37.200000000000003</v>
      </c>
      <c r="D6" s="68">
        <v>0.67600000000000005</v>
      </c>
      <c r="E6">
        <v>64</v>
      </c>
      <c r="F6" s="28" t="s">
        <v>130</v>
      </c>
      <c r="G6" s="28" t="s">
        <v>131</v>
      </c>
      <c r="H6" t="s">
        <v>132</v>
      </c>
      <c r="I6" t="s">
        <v>136</v>
      </c>
      <c r="J6" t="s">
        <v>280</v>
      </c>
      <c r="K6">
        <v>13</v>
      </c>
      <c r="L6" s="71">
        <v>46794</v>
      </c>
      <c r="M6">
        <v>4</v>
      </c>
      <c r="N6" t="s">
        <v>103</v>
      </c>
      <c r="O6" s="71" t="s">
        <v>269</v>
      </c>
      <c r="P6" s="28" t="s">
        <v>137</v>
      </c>
      <c r="Q6" s="28" t="s">
        <v>281</v>
      </c>
    </row>
    <row r="7" spans="1:17">
      <c r="A7" t="s">
        <v>279</v>
      </c>
      <c r="B7">
        <v>444.7</v>
      </c>
      <c r="C7">
        <v>37.200000000000003</v>
      </c>
      <c r="D7" s="68">
        <v>0.67600000000000005</v>
      </c>
      <c r="E7">
        <v>64</v>
      </c>
      <c r="F7" s="28" t="s">
        <v>138</v>
      </c>
      <c r="G7" s="28" t="s">
        <v>196</v>
      </c>
      <c r="H7" t="s">
        <v>197</v>
      </c>
      <c r="I7" t="s">
        <v>141</v>
      </c>
      <c r="J7" t="s">
        <v>282</v>
      </c>
      <c r="K7">
        <v>13</v>
      </c>
      <c r="L7" s="71">
        <v>46511</v>
      </c>
      <c r="M7">
        <v>6</v>
      </c>
      <c r="N7" t="s">
        <v>103</v>
      </c>
      <c r="O7" s="71" t="s">
        <v>269</v>
      </c>
      <c r="P7" s="28" t="s">
        <v>198</v>
      </c>
      <c r="Q7" s="28" t="s">
        <v>283</v>
      </c>
    </row>
    <row r="8" spans="1:17">
      <c r="A8" t="s">
        <v>279</v>
      </c>
      <c r="B8">
        <v>444.7</v>
      </c>
      <c r="C8">
        <v>37.200000000000003</v>
      </c>
      <c r="D8" s="68">
        <v>0.67600000000000005</v>
      </c>
      <c r="E8">
        <v>64</v>
      </c>
      <c r="F8" s="28" t="s">
        <v>143</v>
      </c>
      <c r="G8" s="28" t="s">
        <v>161</v>
      </c>
      <c r="H8" t="s">
        <v>162</v>
      </c>
      <c r="I8" t="s">
        <v>163</v>
      </c>
      <c r="J8" t="s">
        <v>284</v>
      </c>
      <c r="K8">
        <v>10.6</v>
      </c>
      <c r="L8" s="71">
        <v>46491</v>
      </c>
      <c r="M8">
        <v>1</v>
      </c>
      <c r="N8" t="s">
        <v>103</v>
      </c>
      <c r="O8" s="71" t="s">
        <v>269</v>
      </c>
      <c r="P8" s="28" t="s">
        <v>164</v>
      </c>
      <c r="Q8" s="28" t="s">
        <v>285</v>
      </c>
    </row>
    <row r="9" spans="1:17">
      <c r="A9" t="s">
        <v>279</v>
      </c>
      <c r="B9">
        <v>444.7</v>
      </c>
      <c r="C9">
        <v>37.200000000000003</v>
      </c>
      <c r="D9" s="68">
        <v>0.67600000000000005</v>
      </c>
      <c r="E9">
        <v>64</v>
      </c>
      <c r="F9" s="28" t="s">
        <v>148</v>
      </c>
      <c r="G9" s="28" t="s">
        <v>144</v>
      </c>
      <c r="H9" t="s">
        <v>145</v>
      </c>
      <c r="I9" t="s">
        <v>146</v>
      </c>
      <c r="J9" t="s">
        <v>286</v>
      </c>
      <c r="K9">
        <v>8.1</v>
      </c>
      <c r="L9" s="71">
        <v>46855</v>
      </c>
      <c r="M9">
        <v>12</v>
      </c>
      <c r="N9" t="s">
        <v>103</v>
      </c>
      <c r="O9" s="71" t="s">
        <v>269</v>
      </c>
      <c r="P9" s="28" t="s">
        <v>147</v>
      </c>
      <c r="Q9" s="28" t="s">
        <v>287</v>
      </c>
    </row>
    <row r="10" spans="1:17">
      <c r="A10" t="s">
        <v>279</v>
      </c>
      <c r="B10">
        <v>444.7</v>
      </c>
      <c r="C10">
        <v>37.200000000000003</v>
      </c>
      <c r="D10" s="68">
        <v>0.67600000000000005</v>
      </c>
      <c r="E10">
        <v>64</v>
      </c>
      <c r="F10" s="28" t="s">
        <v>152</v>
      </c>
      <c r="G10" s="28" t="s">
        <v>200</v>
      </c>
      <c r="H10" t="s">
        <v>201</v>
      </c>
      <c r="I10" t="s">
        <v>202</v>
      </c>
      <c r="J10" t="s">
        <v>286</v>
      </c>
      <c r="K10">
        <v>7</v>
      </c>
      <c r="L10" s="71">
        <v>46719</v>
      </c>
      <c r="M10">
        <v>24</v>
      </c>
      <c r="N10" t="s">
        <v>103</v>
      </c>
      <c r="O10" s="71" t="s">
        <v>269</v>
      </c>
      <c r="P10" s="28" t="s">
        <v>203</v>
      </c>
      <c r="Q10" s="28" t="s">
        <v>288</v>
      </c>
    </row>
    <row r="11" spans="1:17">
      <c r="A11" t="s">
        <v>279</v>
      </c>
      <c r="B11">
        <v>444.7</v>
      </c>
      <c r="C11">
        <v>37.200000000000003</v>
      </c>
      <c r="D11" s="68">
        <v>0.67600000000000005</v>
      </c>
      <c r="E11">
        <v>64</v>
      </c>
      <c r="F11" s="28" t="s">
        <v>156</v>
      </c>
      <c r="G11" s="28" t="s">
        <v>176</v>
      </c>
      <c r="H11" t="s">
        <v>177</v>
      </c>
      <c r="I11" t="s">
        <v>179</v>
      </c>
      <c r="J11" t="s">
        <v>289</v>
      </c>
      <c r="K11">
        <v>3.7</v>
      </c>
      <c r="L11" s="71">
        <v>46520</v>
      </c>
      <c r="M11">
        <v>2</v>
      </c>
      <c r="N11" t="s">
        <v>103</v>
      </c>
      <c r="O11" s="71" t="s">
        <v>269</v>
      </c>
      <c r="P11" s="28" t="s">
        <v>180</v>
      </c>
      <c r="Q11" s="28" t="s">
        <v>290</v>
      </c>
    </row>
    <row r="12" spans="1:17">
      <c r="A12" t="s">
        <v>279</v>
      </c>
      <c r="B12">
        <v>444.7</v>
      </c>
      <c r="C12">
        <v>37.200000000000003</v>
      </c>
      <c r="D12" s="68">
        <v>0.67600000000000005</v>
      </c>
      <c r="E12">
        <v>64</v>
      </c>
      <c r="F12" s="28" t="s">
        <v>160</v>
      </c>
      <c r="G12" s="28" t="s">
        <v>171</v>
      </c>
      <c r="H12" t="s">
        <v>172</v>
      </c>
      <c r="I12" t="s">
        <v>173</v>
      </c>
      <c r="J12" t="s">
        <v>291</v>
      </c>
      <c r="K12">
        <v>2.1</v>
      </c>
      <c r="L12" s="71">
        <v>46540</v>
      </c>
      <c r="M12">
        <v>15</v>
      </c>
      <c r="N12" t="s">
        <v>103</v>
      </c>
      <c r="O12" s="71" t="s">
        <v>269</v>
      </c>
      <c r="P12" s="28" t="s">
        <v>174</v>
      </c>
      <c r="Q12" s="28" t="s">
        <v>292</v>
      </c>
    </row>
    <row r="13" spans="1:17">
      <c r="A13" t="s">
        <v>293</v>
      </c>
      <c r="B13">
        <v>445.5</v>
      </c>
      <c r="C13">
        <v>32.9</v>
      </c>
      <c r="D13" s="68">
        <v>0.59899999999999998</v>
      </c>
      <c r="E13">
        <v>44</v>
      </c>
      <c r="F13" s="28" t="s">
        <v>130</v>
      </c>
      <c r="G13" s="28" t="s">
        <v>139</v>
      </c>
      <c r="H13" t="s">
        <v>140</v>
      </c>
      <c r="I13" t="s">
        <v>141</v>
      </c>
      <c r="J13" t="s">
        <v>282</v>
      </c>
      <c r="K13">
        <v>15.9</v>
      </c>
      <c r="L13" s="71">
        <v>46541</v>
      </c>
      <c r="M13">
        <v>6</v>
      </c>
      <c r="N13" t="s">
        <v>103</v>
      </c>
      <c r="O13" s="71" t="s">
        <v>269</v>
      </c>
      <c r="P13" s="28" t="s">
        <v>142</v>
      </c>
      <c r="Q13" s="28" t="s">
        <v>294</v>
      </c>
    </row>
    <row r="14" spans="1:17">
      <c r="A14" t="s">
        <v>293</v>
      </c>
      <c r="B14">
        <v>445.5</v>
      </c>
      <c r="C14">
        <v>32.9</v>
      </c>
      <c r="D14" s="68">
        <v>0.59899999999999998</v>
      </c>
      <c r="E14">
        <v>44</v>
      </c>
      <c r="F14" s="28" t="s">
        <v>138</v>
      </c>
      <c r="G14" s="28" t="s">
        <v>187</v>
      </c>
      <c r="H14" t="s">
        <v>188</v>
      </c>
      <c r="I14" t="s">
        <v>163</v>
      </c>
      <c r="J14" t="s">
        <v>295</v>
      </c>
      <c r="K14">
        <v>14.5</v>
      </c>
      <c r="L14" s="71">
        <v>47185</v>
      </c>
      <c r="M14">
        <v>1</v>
      </c>
      <c r="N14" t="s">
        <v>103</v>
      </c>
      <c r="O14" s="71" t="s">
        <v>269</v>
      </c>
      <c r="P14" s="28" t="s">
        <v>190</v>
      </c>
      <c r="Q14" s="28" t="s">
        <v>296</v>
      </c>
    </row>
    <row r="15" spans="1:17">
      <c r="A15" t="s">
        <v>293</v>
      </c>
      <c r="B15">
        <v>445.5</v>
      </c>
      <c r="C15">
        <v>32.9</v>
      </c>
      <c r="D15" s="68">
        <v>0.59899999999999998</v>
      </c>
      <c r="E15">
        <v>44</v>
      </c>
      <c r="F15" s="28" t="s">
        <v>143</v>
      </c>
      <c r="G15" s="28" t="s">
        <v>215</v>
      </c>
      <c r="H15" t="s">
        <v>216</v>
      </c>
      <c r="I15" t="s">
        <v>217</v>
      </c>
      <c r="J15" t="s">
        <v>297</v>
      </c>
      <c r="K15">
        <v>11</v>
      </c>
      <c r="L15" s="71">
        <v>46545</v>
      </c>
      <c r="M15">
        <v>10</v>
      </c>
      <c r="N15" t="s">
        <v>103</v>
      </c>
      <c r="O15" s="71" t="s">
        <v>269</v>
      </c>
      <c r="P15" s="28" t="s">
        <v>218</v>
      </c>
      <c r="Q15" s="28" t="s">
        <v>298</v>
      </c>
    </row>
    <row r="16" spans="1:17">
      <c r="A16" t="s">
        <v>293</v>
      </c>
      <c r="B16">
        <v>445.5</v>
      </c>
      <c r="C16">
        <v>32.9</v>
      </c>
      <c r="D16" s="68">
        <v>0.59899999999999998</v>
      </c>
      <c r="E16">
        <v>44</v>
      </c>
      <c r="F16" s="28" t="s">
        <v>148</v>
      </c>
      <c r="G16" s="28" t="s">
        <v>192</v>
      </c>
      <c r="H16" t="s">
        <v>193</v>
      </c>
      <c r="I16" t="s">
        <v>141</v>
      </c>
      <c r="J16" t="s">
        <v>299</v>
      </c>
      <c r="K16">
        <v>10.9</v>
      </c>
      <c r="L16" s="71">
        <v>46527</v>
      </c>
      <c r="M16">
        <v>6</v>
      </c>
      <c r="N16" t="s">
        <v>103</v>
      </c>
      <c r="O16" s="71" t="s">
        <v>269</v>
      </c>
      <c r="P16" s="28" t="s">
        <v>194</v>
      </c>
      <c r="Q16" s="28" t="s">
        <v>300</v>
      </c>
    </row>
    <row r="17" spans="1:17">
      <c r="A17" t="s">
        <v>293</v>
      </c>
      <c r="B17">
        <v>445.5</v>
      </c>
      <c r="C17">
        <v>32.9</v>
      </c>
      <c r="D17" s="68">
        <v>0.59899999999999998</v>
      </c>
      <c r="E17">
        <v>44</v>
      </c>
      <c r="F17" s="28" t="s">
        <v>152</v>
      </c>
      <c r="G17" s="28" t="s">
        <v>149</v>
      </c>
      <c r="H17" t="s">
        <v>150</v>
      </c>
      <c r="I17" t="s">
        <v>141</v>
      </c>
      <c r="J17" t="s">
        <v>301</v>
      </c>
      <c r="K17">
        <v>10.45</v>
      </c>
      <c r="L17" s="71">
        <v>46697</v>
      </c>
      <c r="M17">
        <v>6</v>
      </c>
      <c r="N17" t="s">
        <v>103</v>
      </c>
      <c r="O17" s="71" t="s">
        <v>269</v>
      </c>
      <c r="P17" s="28" t="s">
        <v>151</v>
      </c>
      <c r="Q17" s="28" t="s">
        <v>302</v>
      </c>
    </row>
    <row r="18" spans="1:17">
      <c r="A18" t="s">
        <v>293</v>
      </c>
      <c r="B18">
        <v>445.5</v>
      </c>
      <c r="C18">
        <v>32.9</v>
      </c>
      <c r="D18" s="68">
        <v>0.59899999999999998</v>
      </c>
      <c r="E18">
        <v>44</v>
      </c>
      <c r="F18" s="28" t="s">
        <v>156</v>
      </c>
      <c r="G18" s="28" t="s">
        <v>153</v>
      </c>
      <c r="H18" t="s">
        <v>154</v>
      </c>
      <c r="I18" t="s">
        <v>141</v>
      </c>
      <c r="J18" t="s">
        <v>282</v>
      </c>
      <c r="K18">
        <v>6.8</v>
      </c>
      <c r="L18" s="71">
        <v>46681</v>
      </c>
      <c r="M18">
        <v>6</v>
      </c>
      <c r="N18" t="s">
        <v>103</v>
      </c>
      <c r="O18" s="71" t="s">
        <v>269</v>
      </c>
      <c r="P18" s="28" t="s">
        <v>155</v>
      </c>
      <c r="Q18" s="28" t="s">
        <v>303</v>
      </c>
    </row>
    <row r="19" spans="1:17">
      <c r="A19" t="s">
        <v>293</v>
      </c>
      <c r="B19">
        <v>445.5</v>
      </c>
      <c r="C19">
        <v>32.9</v>
      </c>
      <c r="D19" s="68">
        <v>0.59899999999999998</v>
      </c>
      <c r="E19">
        <v>44</v>
      </c>
      <c r="F19" s="28" t="s">
        <v>160</v>
      </c>
      <c r="G19" s="28" t="s">
        <v>157</v>
      </c>
      <c r="H19" t="s">
        <v>158</v>
      </c>
      <c r="I19" t="s">
        <v>141</v>
      </c>
      <c r="J19" t="s">
        <v>282</v>
      </c>
      <c r="K19">
        <v>6.8</v>
      </c>
      <c r="L19" s="71">
        <v>46513</v>
      </c>
      <c r="M19">
        <v>6</v>
      </c>
      <c r="N19" t="s">
        <v>103</v>
      </c>
      <c r="O19" s="71" t="s">
        <v>269</v>
      </c>
      <c r="P19" s="28" t="s">
        <v>159</v>
      </c>
      <c r="Q19" s="28" t="s">
        <v>304</v>
      </c>
    </row>
    <row r="20" spans="1:17">
      <c r="A20" t="s">
        <v>293</v>
      </c>
      <c r="B20">
        <v>445.5</v>
      </c>
      <c r="C20">
        <v>32.9</v>
      </c>
      <c r="D20" s="68">
        <v>0.59899999999999998</v>
      </c>
      <c r="E20">
        <v>44</v>
      </c>
      <c r="F20" s="28" t="s">
        <v>165</v>
      </c>
      <c r="G20" s="28" t="s">
        <v>182</v>
      </c>
      <c r="H20" t="s">
        <v>183</v>
      </c>
      <c r="I20" t="s">
        <v>184</v>
      </c>
      <c r="J20" t="s">
        <v>305</v>
      </c>
      <c r="K20">
        <v>5.3</v>
      </c>
      <c r="L20" s="71">
        <v>46679</v>
      </c>
      <c r="M20">
        <v>3</v>
      </c>
      <c r="N20" t="s">
        <v>103</v>
      </c>
      <c r="O20" s="71" t="s">
        <v>269</v>
      </c>
      <c r="P20" s="28" t="s">
        <v>185</v>
      </c>
      <c r="Q20" s="28" t="s">
        <v>306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35"/>
  <sheetViews>
    <sheetView workbookViewId="0">
      <selection activeCell="L14" sqref="L14"/>
    </sheetView>
  </sheetViews>
  <sheetFormatPr defaultRowHeight="16.5"/>
  <cols>
    <col min="1" max="1" width="6.625" customWidth="1"/>
    <col min="2" max="3" width="5.625" customWidth="1"/>
    <col min="4" max="4" width="8.625" customWidth="1"/>
    <col min="5" max="5" width="44.625" customWidth="1"/>
    <col min="6" max="6" width="6.625" customWidth="1"/>
    <col min="7" max="8" width="11.625" customWidth="1"/>
  </cols>
  <sheetData>
    <row r="1" spans="1:8" ht="27.75">
      <c r="A1" s="65" t="s">
        <v>309</v>
      </c>
      <c r="B1" s="72"/>
      <c r="C1" s="72"/>
      <c r="D1" s="72"/>
      <c r="E1" s="72"/>
      <c r="F1" s="72"/>
      <c r="G1" s="72"/>
      <c r="H1" s="72"/>
    </row>
    <row r="2" spans="1:8" ht="20.100000000000001" customHeight="1">
      <c r="H2" s="66" t="s">
        <v>265</v>
      </c>
    </row>
    <row r="3" spans="1:8" ht="26.1" customHeight="1">
      <c r="A3" s="74" t="s">
        <v>312</v>
      </c>
      <c r="B3" s="75"/>
      <c r="C3" s="75"/>
      <c r="D3" s="75"/>
      <c r="E3" s="75"/>
      <c r="F3" s="75"/>
      <c r="G3" s="75"/>
      <c r="H3" s="76"/>
    </row>
    <row r="4" spans="1:8" ht="26.1" customHeight="1">
      <c r="A4" s="77"/>
      <c r="B4" s="78"/>
      <c r="C4" s="78"/>
      <c r="D4" s="78"/>
      <c r="E4" s="78"/>
      <c r="F4" s="78"/>
      <c r="G4" s="78"/>
      <c r="H4" s="79"/>
    </row>
    <row r="5" spans="1:8" ht="5.0999999999999996" customHeight="1"/>
    <row r="6" spans="1:8" ht="30" customHeight="1">
      <c r="A6" s="73" t="s">
        <v>310</v>
      </c>
      <c r="B6" s="73" t="s">
        <v>219</v>
      </c>
      <c r="C6" s="73" t="s">
        <v>220</v>
      </c>
      <c r="D6" s="73" t="s">
        <v>110</v>
      </c>
      <c r="E6" s="73" t="s">
        <v>111</v>
      </c>
      <c r="F6" s="67" t="s">
        <v>314</v>
      </c>
      <c r="G6" s="73" t="s">
        <v>313</v>
      </c>
      <c r="H6" s="73" t="s">
        <v>221</v>
      </c>
    </row>
    <row r="7" spans="1:8" ht="23.1" customHeight="1">
      <c r="A7" s="80">
        <v>1</v>
      </c>
      <c r="B7" s="81">
        <v>1</v>
      </c>
      <c r="C7" s="82" t="s">
        <v>165</v>
      </c>
      <c r="D7" s="82" t="s">
        <v>166</v>
      </c>
      <c r="E7" s="83" t="s">
        <v>167</v>
      </c>
      <c r="F7" s="81"/>
      <c r="G7" s="81" t="s">
        <v>168</v>
      </c>
      <c r="H7" s="84" t="s">
        <v>268</v>
      </c>
    </row>
    <row r="8" spans="1:8" ht="21" customHeight="1" thickBot="1">
      <c r="A8" s="91"/>
      <c r="B8" s="91"/>
      <c r="C8" s="91"/>
      <c r="D8" s="91"/>
      <c r="E8" s="92" t="s">
        <v>315</v>
      </c>
      <c r="F8" s="93" t="s">
        <v>271</v>
      </c>
      <c r="G8" s="94" t="s">
        <v>168</v>
      </c>
      <c r="H8" s="94" t="s">
        <v>268</v>
      </c>
    </row>
    <row r="9" spans="1:8" ht="23.1" customHeight="1" thickTop="1">
      <c r="A9" s="95">
        <v>2</v>
      </c>
      <c r="B9" s="96">
        <v>2</v>
      </c>
      <c r="C9" s="97" t="s">
        <v>204</v>
      </c>
      <c r="D9" s="97" t="s">
        <v>205</v>
      </c>
      <c r="E9" s="98" t="s">
        <v>206</v>
      </c>
      <c r="F9" s="96"/>
      <c r="G9" s="96" t="s">
        <v>207</v>
      </c>
      <c r="H9" s="69" t="s">
        <v>273</v>
      </c>
    </row>
    <row r="10" spans="1:8" ht="21" customHeight="1" thickBot="1">
      <c r="A10" s="104"/>
      <c r="B10" s="104"/>
      <c r="C10" s="104"/>
      <c r="D10" s="104"/>
      <c r="E10" s="105" t="s">
        <v>316</v>
      </c>
      <c r="F10" s="106" t="s">
        <v>271</v>
      </c>
      <c r="G10" s="107" t="s">
        <v>207</v>
      </c>
      <c r="H10" s="107" t="s">
        <v>311</v>
      </c>
    </row>
    <row r="11" spans="1:8" ht="23.1" customHeight="1" thickTop="1">
      <c r="A11" s="108">
        <v>3</v>
      </c>
      <c r="B11" s="109">
        <v>3</v>
      </c>
      <c r="C11" s="110" t="s">
        <v>204</v>
      </c>
      <c r="D11" s="110" t="s">
        <v>205</v>
      </c>
      <c r="E11" s="111" t="s">
        <v>206</v>
      </c>
      <c r="F11" s="109"/>
      <c r="G11" s="109" t="s">
        <v>207</v>
      </c>
      <c r="H11" s="112" t="s">
        <v>273</v>
      </c>
    </row>
    <row r="12" spans="1:8" ht="21" customHeight="1" thickBot="1">
      <c r="A12" s="91"/>
      <c r="B12" s="91"/>
      <c r="C12" s="91"/>
      <c r="D12" s="91"/>
      <c r="E12" s="92" t="s">
        <v>316</v>
      </c>
      <c r="F12" s="93" t="s">
        <v>271</v>
      </c>
      <c r="G12" s="94" t="s">
        <v>207</v>
      </c>
      <c r="H12" s="94" t="s">
        <v>311</v>
      </c>
    </row>
    <row r="13" spans="1:8" ht="23.1" customHeight="1" thickTop="1">
      <c r="A13" s="95">
        <v>4</v>
      </c>
      <c r="B13" s="96">
        <v>4</v>
      </c>
      <c r="C13" s="97" t="s">
        <v>209</v>
      </c>
      <c r="D13" s="97" t="s">
        <v>210</v>
      </c>
      <c r="E13" s="98" t="s">
        <v>211</v>
      </c>
      <c r="F13" s="96"/>
      <c r="G13" s="96" t="s">
        <v>212</v>
      </c>
      <c r="H13" s="69" t="s">
        <v>277</v>
      </c>
    </row>
    <row r="14" spans="1:8" ht="21" customHeight="1" thickBot="1">
      <c r="A14" s="104"/>
      <c r="B14" s="104"/>
      <c r="C14" s="104"/>
      <c r="D14" s="104"/>
      <c r="E14" s="105" t="s">
        <v>316</v>
      </c>
      <c r="F14" s="106" t="s">
        <v>271</v>
      </c>
      <c r="G14" s="107" t="s">
        <v>212</v>
      </c>
      <c r="H14" s="107" t="s">
        <v>277</v>
      </c>
    </row>
    <row r="15" spans="1:8" ht="23.1" customHeight="1" thickTop="1">
      <c r="A15" s="108">
        <v>5</v>
      </c>
      <c r="B15" s="109">
        <v>5</v>
      </c>
      <c r="C15" s="110" t="s">
        <v>130</v>
      </c>
      <c r="D15" s="110" t="s">
        <v>131</v>
      </c>
      <c r="E15" s="111" t="s">
        <v>132</v>
      </c>
      <c r="F15" s="109"/>
      <c r="G15" s="109" t="s">
        <v>136</v>
      </c>
      <c r="H15" s="112" t="s">
        <v>280</v>
      </c>
    </row>
    <row r="16" spans="1:8" ht="21" customHeight="1">
      <c r="A16" s="85"/>
      <c r="B16" s="85"/>
      <c r="C16" s="85"/>
      <c r="D16" s="85"/>
      <c r="E16" s="86" t="s">
        <v>317</v>
      </c>
      <c r="F16" s="87" t="s">
        <v>271</v>
      </c>
      <c r="G16" s="88" t="s">
        <v>136</v>
      </c>
      <c r="H16" s="88" t="s">
        <v>280</v>
      </c>
    </row>
    <row r="17" spans="1:8" ht="23.1" customHeight="1">
      <c r="A17" s="113">
        <v>5</v>
      </c>
      <c r="B17" s="114">
        <v>6</v>
      </c>
      <c r="C17" s="115" t="s">
        <v>195</v>
      </c>
      <c r="D17" s="115" t="s">
        <v>196</v>
      </c>
      <c r="E17" s="116" t="s">
        <v>197</v>
      </c>
      <c r="F17" s="114"/>
      <c r="G17" s="114" t="s">
        <v>141</v>
      </c>
      <c r="H17" s="117" t="s">
        <v>282</v>
      </c>
    </row>
    <row r="18" spans="1:8" ht="21" customHeight="1">
      <c r="A18" s="85"/>
      <c r="B18" s="85"/>
      <c r="C18" s="85"/>
      <c r="D18" s="85"/>
      <c r="E18" s="86" t="s">
        <v>318</v>
      </c>
      <c r="F18" s="87" t="s">
        <v>271</v>
      </c>
      <c r="G18" s="88" t="s">
        <v>141</v>
      </c>
      <c r="H18" s="88" t="s">
        <v>282</v>
      </c>
    </row>
    <row r="19" spans="1:8" ht="23.1" customHeight="1">
      <c r="A19" s="113">
        <v>5</v>
      </c>
      <c r="B19" s="114">
        <v>7</v>
      </c>
      <c r="C19" s="115" t="s">
        <v>160</v>
      </c>
      <c r="D19" s="115" t="s">
        <v>161</v>
      </c>
      <c r="E19" s="116" t="s">
        <v>162</v>
      </c>
      <c r="F19" s="114"/>
      <c r="G19" s="114" t="s">
        <v>163</v>
      </c>
      <c r="H19" s="117" t="s">
        <v>284</v>
      </c>
    </row>
    <row r="20" spans="1:8" ht="21" customHeight="1">
      <c r="A20" s="85"/>
      <c r="B20" s="85"/>
      <c r="C20" s="85"/>
      <c r="D20" s="85"/>
      <c r="E20" s="86" t="s">
        <v>319</v>
      </c>
      <c r="F20" s="87" t="s">
        <v>271</v>
      </c>
      <c r="G20" s="88" t="s">
        <v>163</v>
      </c>
      <c r="H20" s="88" t="s">
        <v>284</v>
      </c>
    </row>
    <row r="21" spans="1:8" ht="23.1" customHeight="1">
      <c r="A21" s="113">
        <v>5</v>
      </c>
      <c r="B21" s="114">
        <v>8</v>
      </c>
      <c r="C21" s="115" t="s">
        <v>143</v>
      </c>
      <c r="D21" s="115" t="s">
        <v>144</v>
      </c>
      <c r="E21" s="116" t="s">
        <v>145</v>
      </c>
      <c r="F21" s="114"/>
      <c r="G21" s="114" t="s">
        <v>146</v>
      </c>
      <c r="H21" s="117" t="s">
        <v>286</v>
      </c>
    </row>
    <row r="22" spans="1:8" ht="21" customHeight="1">
      <c r="A22" s="85"/>
      <c r="B22" s="85"/>
      <c r="C22" s="85"/>
      <c r="D22" s="85"/>
      <c r="E22" s="86" t="s">
        <v>320</v>
      </c>
      <c r="F22" s="87" t="s">
        <v>271</v>
      </c>
      <c r="G22" s="88" t="s">
        <v>146</v>
      </c>
      <c r="H22" s="88" t="s">
        <v>286</v>
      </c>
    </row>
    <row r="23" spans="1:8" ht="23.1" customHeight="1">
      <c r="A23" s="113">
        <v>5</v>
      </c>
      <c r="B23" s="114">
        <v>9</v>
      </c>
      <c r="C23" s="115" t="s">
        <v>199</v>
      </c>
      <c r="D23" s="115" t="s">
        <v>200</v>
      </c>
      <c r="E23" s="116" t="s">
        <v>201</v>
      </c>
      <c r="F23" s="114"/>
      <c r="G23" s="114" t="s">
        <v>202</v>
      </c>
      <c r="H23" s="117" t="s">
        <v>286</v>
      </c>
    </row>
    <row r="24" spans="1:8" ht="21" customHeight="1">
      <c r="A24" s="85"/>
      <c r="B24" s="85"/>
      <c r="C24" s="85"/>
      <c r="D24" s="85"/>
      <c r="E24" s="86" t="s">
        <v>321</v>
      </c>
      <c r="F24" s="87" t="s">
        <v>271</v>
      </c>
      <c r="G24" s="88" t="s">
        <v>202</v>
      </c>
      <c r="H24" s="88" t="s">
        <v>286</v>
      </c>
    </row>
    <row r="25" spans="1:8" ht="23.1" customHeight="1">
      <c r="A25" s="113">
        <v>5</v>
      </c>
      <c r="B25" s="114">
        <v>10</v>
      </c>
      <c r="C25" s="115" t="s">
        <v>175</v>
      </c>
      <c r="D25" s="115" t="s">
        <v>176</v>
      </c>
      <c r="E25" s="116" t="s">
        <v>177</v>
      </c>
      <c r="F25" s="114"/>
      <c r="G25" s="114" t="s">
        <v>179</v>
      </c>
      <c r="H25" s="117" t="s">
        <v>289</v>
      </c>
    </row>
    <row r="26" spans="1:8" ht="21" customHeight="1">
      <c r="A26" s="85"/>
      <c r="B26" s="85"/>
      <c r="C26" s="85"/>
      <c r="D26" s="85"/>
      <c r="E26" s="86" t="s">
        <v>322</v>
      </c>
      <c r="F26" s="87" t="s">
        <v>271</v>
      </c>
      <c r="G26" s="88" t="s">
        <v>179</v>
      </c>
      <c r="H26" s="88" t="s">
        <v>289</v>
      </c>
    </row>
    <row r="27" spans="1:8" ht="23.1" customHeight="1">
      <c r="A27" s="113">
        <v>5</v>
      </c>
      <c r="B27" s="114">
        <v>11</v>
      </c>
      <c r="C27" s="115" t="s">
        <v>170</v>
      </c>
      <c r="D27" s="115" t="s">
        <v>171</v>
      </c>
      <c r="E27" s="116" t="s">
        <v>172</v>
      </c>
      <c r="F27" s="114"/>
      <c r="G27" s="114" t="s">
        <v>173</v>
      </c>
      <c r="H27" s="117" t="s">
        <v>291</v>
      </c>
    </row>
    <row r="28" spans="1:8" ht="21" customHeight="1" thickBot="1">
      <c r="A28" s="91"/>
      <c r="B28" s="91"/>
      <c r="C28" s="91"/>
      <c r="D28" s="91"/>
      <c r="E28" s="92" t="s">
        <v>323</v>
      </c>
      <c r="F28" s="93" t="s">
        <v>271</v>
      </c>
      <c r="G28" s="94" t="s">
        <v>173</v>
      </c>
      <c r="H28" s="94" t="s">
        <v>291</v>
      </c>
    </row>
    <row r="29" spans="1:8" ht="23.1" customHeight="1" thickTop="1">
      <c r="A29" s="95">
        <v>6</v>
      </c>
      <c r="B29" s="96">
        <v>12</v>
      </c>
      <c r="C29" s="97" t="s">
        <v>138</v>
      </c>
      <c r="D29" s="97" t="s">
        <v>139</v>
      </c>
      <c r="E29" s="98" t="s">
        <v>140</v>
      </c>
      <c r="F29" s="96"/>
      <c r="G29" s="96" t="s">
        <v>141</v>
      </c>
      <c r="H29" s="69" t="s">
        <v>282</v>
      </c>
    </row>
    <row r="30" spans="1:8" ht="21" customHeight="1">
      <c r="A30" s="99"/>
      <c r="B30" s="99"/>
      <c r="C30" s="99"/>
      <c r="D30" s="99"/>
      <c r="E30" s="100" t="s">
        <v>324</v>
      </c>
      <c r="F30" s="101" t="s">
        <v>271</v>
      </c>
      <c r="G30" s="103" t="s">
        <v>141</v>
      </c>
      <c r="H30" s="103" t="s">
        <v>282</v>
      </c>
    </row>
    <row r="31" spans="1:8" ht="23.1" customHeight="1">
      <c r="A31" s="118">
        <v>6</v>
      </c>
      <c r="B31" s="119">
        <v>13</v>
      </c>
      <c r="C31" s="120" t="s">
        <v>186</v>
      </c>
      <c r="D31" s="120" t="s">
        <v>187</v>
      </c>
      <c r="E31" s="121" t="s">
        <v>188</v>
      </c>
      <c r="F31" s="119"/>
      <c r="G31" s="119" t="s">
        <v>163</v>
      </c>
      <c r="H31" s="122" t="s">
        <v>295</v>
      </c>
    </row>
    <row r="32" spans="1:8" ht="21" customHeight="1">
      <c r="A32" s="99"/>
      <c r="B32" s="99"/>
      <c r="C32" s="99"/>
      <c r="D32" s="99"/>
      <c r="E32" s="100" t="s">
        <v>325</v>
      </c>
      <c r="F32" s="101" t="s">
        <v>271</v>
      </c>
      <c r="G32" s="103" t="s">
        <v>163</v>
      </c>
      <c r="H32" s="103" t="s">
        <v>295</v>
      </c>
    </row>
    <row r="33" spans="1:8" ht="23.1" customHeight="1">
      <c r="A33" s="118">
        <v>6</v>
      </c>
      <c r="B33" s="119">
        <v>14</v>
      </c>
      <c r="C33" s="120" t="s">
        <v>214</v>
      </c>
      <c r="D33" s="120" t="s">
        <v>215</v>
      </c>
      <c r="E33" s="121" t="s">
        <v>216</v>
      </c>
      <c r="F33" s="119"/>
      <c r="G33" s="119" t="s">
        <v>217</v>
      </c>
      <c r="H33" s="122" t="s">
        <v>297</v>
      </c>
    </row>
    <row r="34" spans="1:8" ht="21" customHeight="1">
      <c r="A34" s="99"/>
      <c r="B34" s="99"/>
      <c r="C34" s="99"/>
      <c r="D34" s="99"/>
      <c r="E34" s="100" t="s">
        <v>326</v>
      </c>
      <c r="F34" s="101" t="s">
        <v>271</v>
      </c>
      <c r="G34" s="103" t="s">
        <v>217</v>
      </c>
      <c r="H34" s="103" t="s">
        <v>297</v>
      </c>
    </row>
    <row r="35" spans="1:8">
      <c r="A35" s="89"/>
      <c r="B35" s="89"/>
      <c r="C35" s="89"/>
      <c r="D35" s="89"/>
      <c r="E35" s="89"/>
      <c r="F35" s="89"/>
      <c r="G35" s="89"/>
      <c r="H35" s="89"/>
    </row>
  </sheetData>
  <mergeCells count="2">
    <mergeCell ref="A1:H1"/>
    <mergeCell ref="A3:H4"/>
  </mergeCells>
  <phoneticPr fontId="1" type="noConversion"/>
  <printOptions horizontalCentered="1"/>
  <pageMargins left="0.39370078740157477" right="0.39370078740157477" top="0.59055118110236215" bottom="0.78740157480314954" header="0.3" footer="0.3"/>
  <pageSetup paperSize="9" scale="94" orientation="portrait" r:id="rId1"/>
  <headerFooter>
    <oddHeader>&amp;L&amp;"微軟正黑體,粗體"&amp;16 棧板對點明細 (第 1 頁 / 共 2 頁)&amp;R&amp;"微軟正黑體,粗體"&amp;16 宜蘭所0611-T7031</oddHeader>
    <oddFooter>&amp;C&amp;"微軟正黑體,粗體"&amp;16 第 &amp;P 頁 / 共 &amp;N 頁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12"/>
  <sheetViews>
    <sheetView workbookViewId="0">
      <selection activeCell="L14" sqref="L14"/>
    </sheetView>
  </sheetViews>
  <sheetFormatPr defaultRowHeight="16.5"/>
  <cols>
    <col min="1" max="1" width="6.625" customWidth="1"/>
    <col min="2" max="3" width="5.625" customWidth="1"/>
    <col min="4" max="4" width="8.625" customWidth="1"/>
    <col min="5" max="5" width="44.625" customWidth="1"/>
    <col min="6" max="6" width="6.625" customWidth="1"/>
    <col min="7" max="8" width="11.625" customWidth="1"/>
  </cols>
  <sheetData>
    <row r="1" spans="1:8" ht="30" customHeight="1">
      <c r="A1" s="73" t="s">
        <v>310</v>
      </c>
      <c r="B1" s="73" t="s">
        <v>219</v>
      </c>
      <c r="C1" s="73" t="s">
        <v>220</v>
      </c>
      <c r="D1" s="73" t="s">
        <v>110</v>
      </c>
      <c r="E1" s="73" t="s">
        <v>111</v>
      </c>
      <c r="F1" s="67" t="s">
        <v>266</v>
      </c>
      <c r="G1" s="73" t="s">
        <v>313</v>
      </c>
      <c r="H1" s="73" t="s">
        <v>221</v>
      </c>
    </row>
    <row r="2" spans="1:8" ht="23.1" customHeight="1">
      <c r="A2" s="123">
        <v>6</v>
      </c>
      <c r="B2" s="102">
        <v>15</v>
      </c>
      <c r="C2" s="124" t="s">
        <v>191</v>
      </c>
      <c r="D2" s="124" t="s">
        <v>192</v>
      </c>
      <c r="E2" s="125" t="s">
        <v>193</v>
      </c>
      <c r="F2" s="102"/>
      <c r="G2" s="102" t="s">
        <v>141</v>
      </c>
      <c r="H2" s="126" t="s">
        <v>299</v>
      </c>
    </row>
    <row r="3" spans="1:8" ht="21" customHeight="1">
      <c r="A3" s="99"/>
      <c r="B3" s="99"/>
      <c r="C3" s="99"/>
      <c r="D3" s="99"/>
      <c r="E3" s="100" t="s">
        <v>327</v>
      </c>
      <c r="F3" s="101" t="s">
        <v>271</v>
      </c>
      <c r="G3" s="103" t="s">
        <v>141</v>
      </c>
      <c r="H3" s="103" t="s">
        <v>299</v>
      </c>
    </row>
    <row r="4" spans="1:8" ht="23.1" customHeight="1">
      <c r="A4" s="118">
        <v>6</v>
      </c>
      <c r="B4" s="119">
        <v>16</v>
      </c>
      <c r="C4" s="120" t="s">
        <v>148</v>
      </c>
      <c r="D4" s="120" t="s">
        <v>149</v>
      </c>
      <c r="E4" s="121" t="s">
        <v>150</v>
      </c>
      <c r="F4" s="119"/>
      <c r="G4" s="119" t="s">
        <v>141</v>
      </c>
      <c r="H4" s="122" t="s">
        <v>301</v>
      </c>
    </row>
    <row r="5" spans="1:8" ht="21" customHeight="1">
      <c r="A5" s="99"/>
      <c r="B5" s="99"/>
      <c r="C5" s="99"/>
      <c r="D5" s="99"/>
      <c r="E5" s="100" t="s">
        <v>328</v>
      </c>
      <c r="F5" s="101" t="s">
        <v>271</v>
      </c>
      <c r="G5" s="103" t="s">
        <v>141</v>
      </c>
      <c r="H5" s="103" t="s">
        <v>301</v>
      </c>
    </row>
    <row r="6" spans="1:8" ht="23.1" customHeight="1">
      <c r="A6" s="118">
        <v>6</v>
      </c>
      <c r="B6" s="119">
        <v>17</v>
      </c>
      <c r="C6" s="120" t="s">
        <v>152</v>
      </c>
      <c r="D6" s="120" t="s">
        <v>153</v>
      </c>
      <c r="E6" s="121" t="s">
        <v>154</v>
      </c>
      <c r="F6" s="119"/>
      <c r="G6" s="119" t="s">
        <v>141</v>
      </c>
      <c r="H6" s="122" t="s">
        <v>282</v>
      </c>
    </row>
    <row r="7" spans="1:8" ht="21" customHeight="1">
      <c r="A7" s="99"/>
      <c r="B7" s="99"/>
      <c r="C7" s="99"/>
      <c r="D7" s="99"/>
      <c r="E7" s="100" t="s">
        <v>329</v>
      </c>
      <c r="F7" s="101" t="s">
        <v>271</v>
      </c>
      <c r="G7" s="103" t="s">
        <v>141</v>
      </c>
      <c r="H7" s="103" t="s">
        <v>282</v>
      </c>
    </row>
    <row r="8" spans="1:8" ht="23.1" customHeight="1">
      <c r="A8" s="118">
        <v>6</v>
      </c>
      <c r="B8" s="119">
        <v>18</v>
      </c>
      <c r="C8" s="120" t="s">
        <v>156</v>
      </c>
      <c r="D8" s="120" t="s">
        <v>157</v>
      </c>
      <c r="E8" s="121" t="s">
        <v>158</v>
      </c>
      <c r="F8" s="119"/>
      <c r="G8" s="119" t="s">
        <v>141</v>
      </c>
      <c r="H8" s="122" t="s">
        <v>282</v>
      </c>
    </row>
    <row r="9" spans="1:8" ht="21" customHeight="1">
      <c r="A9" s="99"/>
      <c r="B9" s="99"/>
      <c r="C9" s="99"/>
      <c r="D9" s="99"/>
      <c r="E9" s="100" t="s">
        <v>330</v>
      </c>
      <c r="F9" s="101" t="s">
        <v>271</v>
      </c>
      <c r="G9" s="103" t="s">
        <v>141</v>
      </c>
      <c r="H9" s="103" t="s">
        <v>282</v>
      </c>
    </row>
    <row r="10" spans="1:8" ht="23.1" customHeight="1">
      <c r="A10" s="118">
        <v>6</v>
      </c>
      <c r="B10" s="119">
        <v>19</v>
      </c>
      <c r="C10" s="120" t="s">
        <v>181</v>
      </c>
      <c r="D10" s="120" t="s">
        <v>182</v>
      </c>
      <c r="E10" s="121" t="s">
        <v>183</v>
      </c>
      <c r="F10" s="119"/>
      <c r="G10" s="119" t="s">
        <v>184</v>
      </c>
      <c r="H10" s="122" t="s">
        <v>305</v>
      </c>
    </row>
    <row r="11" spans="1:8" ht="21" customHeight="1" thickBot="1">
      <c r="A11" s="104"/>
      <c r="B11" s="104"/>
      <c r="C11" s="104"/>
      <c r="D11" s="104"/>
      <c r="E11" s="105" t="s">
        <v>331</v>
      </c>
      <c r="F11" s="106" t="s">
        <v>271</v>
      </c>
      <c r="G11" s="107" t="s">
        <v>184</v>
      </c>
      <c r="H11" s="107" t="s">
        <v>305</v>
      </c>
    </row>
    <row r="12" spans="1:8" ht="17.25" thickTop="1">
      <c r="A12" s="90"/>
      <c r="B12" s="90"/>
      <c r="C12" s="90"/>
      <c r="D12" s="90"/>
      <c r="E12" s="90"/>
      <c r="F12" s="90"/>
      <c r="G12" s="90"/>
      <c r="H12" s="90"/>
    </row>
  </sheetData>
  <phoneticPr fontId="1" type="noConversion"/>
  <printOptions horizontalCentered="1"/>
  <pageMargins left="0.39370078740157477" right="0.39370078740157477" top="0.59055118110236215" bottom="0.78740157480314954" header="0.3" footer="0.3"/>
  <pageSetup paperSize="9" scale="94" orientation="portrait" r:id="rId1"/>
  <headerFooter>
    <oddHeader>&amp;L&amp;"微軟正黑體,粗體"&amp;16 棧板對點明細 (第 2 頁 / 共 2 頁)&amp;R&amp;"微軟正黑體,粗體"&amp;16 宜蘭所0611-T7031</oddHeader>
    <oddFooter>&amp;C&amp;"微軟正黑體,粗體"&amp;16 第 &amp;P 頁 / 共 &amp;N 頁</oddFooter>
  </headerFooter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工作表1</vt:lpstr>
      <vt:lpstr>_SYS</vt:lpstr>
      <vt:lpstr>OrderBase</vt:lpstr>
      <vt:lpstr>OrderBase-1</vt:lpstr>
      <vt:lpstr>PalletPickList</vt:lpstr>
      <vt:lpstr>Upload_Buffer</vt:lpstr>
      <vt:lpstr>PDF_Pallets_All_P1</vt:lpstr>
      <vt:lpstr>PDF_Pallets_All_P2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User</cp:lastModifiedBy>
  <cp:lastPrinted>2026-06-22T06:21:25Z</cp:lastPrinted>
  <dcterms:created xsi:type="dcterms:W3CDTF">2025-12-13T13:08:39Z</dcterms:created>
  <dcterms:modified xsi:type="dcterms:W3CDTF">2026-06-22T06:23:03Z</dcterms:modified>
</cp:coreProperties>
</file>