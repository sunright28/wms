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hung\棧板\20260613\"/>
    </mc:Choice>
  </mc:AlternateContent>
  <bookViews>
    <workbookView xWindow="0" yWindow="0" windowWidth="23040" windowHeight="8355" tabRatio="867"/>
  </bookViews>
  <sheets>
    <sheet name="工作表1" sheetId="1" r:id="rId1"/>
    <sheet name="_SYS" sheetId="2" state="hidden" r:id="rId2"/>
    <sheet name="產品主檔暫存" sheetId="3" r:id="rId3"/>
    <sheet name="OrderBase" sheetId="4" r:id="rId4"/>
    <sheet name="OrderBase-1" sheetId="5" r:id="rId5"/>
    <sheet name="PalletPickList" sheetId="6" r:id="rId6"/>
    <sheet name="Upload_Buffer" sheetId="7" r:id="rId7"/>
    <sheet name="PDF_Pallet_Report_P1" sheetId="8" r:id="rId8"/>
    <sheet name="PDF_Pallet_Report_P2" sheetId="9" r:id="rId9"/>
    <sheet name="PDF_Pallet_Report_P3" sheetId="10" r:id="rId10"/>
  </sheets>
  <functionGroups builtInGroupCount="18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8" i="6" l="1"/>
  <c r="U8" i="6"/>
  <c r="T8" i="6"/>
  <c r="S8" i="6"/>
  <c r="V7" i="6"/>
  <c r="U7" i="6"/>
  <c r="T7" i="6"/>
  <c r="S7" i="6"/>
  <c r="V6" i="6"/>
  <c r="U6" i="6"/>
  <c r="T6" i="6"/>
  <c r="S6" i="6"/>
  <c r="V5" i="6"/>
  <c r="U5" i="6"/>
  <c r="T5" i="6"/>
  <c r="S5" i="6"/>
  <c r="V4" i="6"/>
  <c r="U4" i="6"/>
  <c r="T4" i="6"/>
  <c r="S4" i="6"/>
  <c r="V3" i="6"/>
  <c r="U3" i="6"/>
  <c r="T3" i="6"/>
  <c r="S3" i="6"/>
  <c r="V2" i="6"/>
  <c r="U2" i="6"/>
  <c r="T2" i="6"/>
  <c r="S2" i="6"/>
</calcChain>
</file>

<file path=xl/sharedStrings.xml><?xml version="1.0" encoding="utf-8"?>
<sst xmlns="http://schemas.openxmlformats.org/spreadsheetml/2006/main" count="7615" uniqueCount="2343">
  <si>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</si>
  <si>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</si>
  <si>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</si>
  <si>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</si>
  <si>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</si>
  <si>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</si>
  <si>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</si>
  <si>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</si>
  <si>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</si>
  <si>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</si>
  <si>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</si>
  <si>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</si>
  <si>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</si>
  <si>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</si>
  <si>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</si>
  <si>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</si>
  <si>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</si>
  <si>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</si>
  <si>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</si>
  <si>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</si>
  <si>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</si>
  <si>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</si>
  <si>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</si>
  <si>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</si>
  <si>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</si>
  <si>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</si>
  <si>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</si>
  <si>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</si>
  <si>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</si>
  <si>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</si>
  <si>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</si>
  <si>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</si>
  <si>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</si>
  <si>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</si>
  <si>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</si>
  <si>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</si>
  <si>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</si>
  <si>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</si>
  <si>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</si>
  <si>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</si>
  <si>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</si>
  <si>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</si>
  <si>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</si>
  <si>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</si>
  <si>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</si>
  <si>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</si>
  <si>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</si>
  <si>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</si>
  <si>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</si>
  <si>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</si>
  <si>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</si>
  <si>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</si>
  <si>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</si>
  <si>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</si>
  <si>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</si>
  <si>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</si>
  <si>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</si>
  <si>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</si>
  <si>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</si>
  <si>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</si>
  <si>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</si>
  <si>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</si>
  <si>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</si>
  <si>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</si>
  <si>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</si>
  <si>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</si>
  <si>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</si>
  <si>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</si>
  <si>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</si>
  <si>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</si>
  <si>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</si>
  <si>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</si>
  <si>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</si>
  <si>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</si>
  <si>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</si>
  <si>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</si>
  <si>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</si>
  <si>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</si>
  <si>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</si>
  <si>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</si>
  <si>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</si>
  <si>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</si>
  <si>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</si>
  <si>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</si>
  <si>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</si>
  <si>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</si>
  <si>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</si>
  <si>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</si>
  <si>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</si>
  <si>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</si>
  <si>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</si>
  <si>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</si>
  <si>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</si>
  <si>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</si>
  <si>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</si>
  <si>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</si>
  <si>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Supabase 雲端資料庫</t>
  </si>
  <si>
    <t>public.products</t>
  </si>
  <si>
    <t>品號</t>
  </si>
  <si>
    <t>品名</t>
  </si>
  <si>
    <t>規格</t>
  </si>
  <si>
    <t>入數</t>
  </si>
  <si>
    <t>每板箱數</t>
  </si>
  <si>
    <t>底數</t>
  </si>
  <si>
    <t>材積</t>
  </si>
  <si>
    <t>毛重</t>
  </si>
  <si>
    <t>長</t>
  </si>
  <si>
    <t>寬</t>
  </si>
  <si>
    <t>高</t>
  </si>
  <si>
    <t>保存年限</t>
  </si>
  <si>
    <t>100050</t>
  </si>
  <si>
    <t>南北坊-優質太白粉400g</t>
  </si>
  <si>
    <t>400g*12入</t>
  </si>
  <si>
    <t>12</t>
  </si>
  <si>
    <t>132</t>
  </si>
  <si>
    <t/>
  </si>
  <si>
    <t>0.38430228</t>
  </si>
  <si>
    <t>5.6</t>
  </si>
  <si>
    <t>35.8</t>
  </si>
  <si>
    <t>26.9</t>
  </si>
  <si>
    <t>11.3</t>
  </si>
  <si>
    <t>2年</t>
  </si>
  <si>
    <t>220007</t>
  </si>
  <si>
    <t>(盒)速發酵母12g</t>
  </si>
  <si>
    <t>(12g*4入)*24盒</t>
  </si>
  <si>
    <t>24</t>
  </si>
  <si>
    <t>120</t>
  </si>
  <si>
    <t>0.439603945</t>
  </si>
  <si>
    <t>2.5</t>
  </si>
  <si>
    <t>40.8</t>
  </si>
  <si>
    <t>27</t>
  </si>
  <si>
    <t>18個月</t>
  </si>
  <si>
    <t>220008</t>
  </si>
  <si>
    <t>(包)速發酵母12G</t>
  </si>
  <si>
    <t>12G*24包*12盒</t>
  </si>
  <si>
    <t>288</t>
  </si>
  <si>
    <t>48</t>
  </si>
  <si>
    <t>0.942999317</t>
  </si>
  <si>
    <t>5.3</t>
  </si>
  <si>
    <t>41.3</t>
  </si>
  <si>
    <t>33.5</t>
  </si>
  <si>
    <t>19.3</t>
  </si>
  <si>
    <t>300154</t>
  </si>
  <si>
    <t>南-紫米紅豆400g</t>
  </si>
  <si>
    <t>121</t>
  </si>
  <si>
    <t>0.346</t>
  </si>
  <si>
    <t>36</t>
  </si>
  <si>
    <t>26</t>
  </si>
  <si>
    <t>10.5</t>
  </si>
  <si>
    <t>340315</t>
  </si>
  <si>
    <t>日正(圓餅)粉絲B40g*50入-MIT</t>
  </si>
  <si>
    <t>40g*50入</t>
  </si>
  <si>
    <t>50</t>
  </si>
  <si>
    <t>64</t>
  </si>
  <si>
    <t>0.912</t>
  </si>
  <si>
    <t>53.5</t>
  </si>
  <si>
    <t>23</t>
  </si>
  <si>
    <t>21</t>
  </si>
  <si>
    <t>340332</t>
  </si>
  <si>
    <t>日正寬粉40g*50入-MIT</t>
  </si>
  <si>
    <t>1</t>
  </si>
  <si>
    <t>360029</t>
  </si>
  <si>
    <t>南-當歸雞絲麵150g</t>
  </si>
  <si>
    <t>150g*12入</t>
  </si>
  <si>
    <t>0.540751756</t>
  </si>
  <si>
    <t>2.8</t>
  </si>
  <si>
    <t>27.8</t>
  </si>
  <si>
    <t>15.3</t>
  </si>
  <si>
    <t>9個月</t>
  </si>
  <si>
    <t>400037</t>
  </si>
  <si>
    <t>黑糖阿薩姆奶茶(隨身包)20g</t>
  </si>
  <si>
    <t>12入*12包</t>
  </si>
  <si>
    <t>010002</t>
  </si>
  <si>
    <t>健康減鈉鹽300g</t>
  </si>
  <si>
    <t>300g*24入</t>
  </si>
  <si>
    <t>105</t>
  </si>
  <si>
    <t>0.498911815</t>
  </si>
  <si>
    <t>9</t>
  </si>
  <si>
    <t>37.4</t>
  </si>
  <si>
    <t>18.7</t>
  </si>
  <si>
    <t>20.2</t>
  </si>
  <si>
    <t>010003</t>
  </si>
  <si>
    <t>健康美味鹽300g</t>
  </si>
  <si>
    <t>010007</t>
  </si>
  <si>
    <t>精緻海鹽300g</t>
  </si>
  <si>
    <t>010008</t>
  </si>
  <si>
    <t>宗祐玫瑰細鹽500g</t>
  </si>
  <si>
    <t>500g*24入</t>
  </si>
  <si>
    <t>30</t>
  </si>
  <si>
    <t>0.610497468</t>
  </si>
  <si>
    <t>12.9</t>
  </si>
  <si>
    <t>34.3</t>
  </si>
  <si>
    <t>22.5</t>
  </si>
  <si>
    <t>22.4</t>
  </si>
  <si>
    <t>010010</t>
  </si>
  <si>
    <t>隆一天然椰子花蜜糖210g</t>
  </si>
  <si>
    <t>210g*24入</t>
  </si>
  <si>
    <t>0.588229242</t>
  </si>
  <si>
    <t>6.1</t>
  </si>
  <si>
    <t>33.8</t>
  </si>
  <si>
    <t>22</t>
  </si>
  <si>
    <t>020002</t>
  </si>
  <si>
    <t>1公斤精鹽</t>
  </si>
  <si>
    <t>1000g*24入</t>
  </si>
  <si>
    <t>66</t>
  </si>
  <si>
    <t>0.683504168</t>
  </si>
  <si>
    <t>49.5</t>
  </si>
  <si>
    <t>34</t>
  </si>
  <si>
    <t>11.5</t>
  </si>
  <si>
    <t>020003</t>
  </si>
  <si>
    <t>特級精鹽1kg</t>
  </si>
  <si>
    <t>030001</t>
  </si>
  <si>
    <t>中二砂500g</t>
  </si>
  <si>
    <t>72</t>
  </si>
  <si>
    <t>0.779843488</t>
  </si>
  <si>
    <t>36.5</t>
  </si>
  <si>
    <t>27.5</t>
  </si>
  <si>
    <t>030032</t>
  </si>
  <si>
    <t>南-二砂糖400g</t>
  </si>
  <si>
    <t>400g*24入</t>
  </si>
  <si>
    <t>77</t>
  </si>
  <si>
    <t>0.617172003</t>
  </si>
  <si>
    <t>10.6</t>
  </si>
  <si>
    <t>28</t>
  </si>
  <si>
    <t>17.1</t>
  </si>
  <si>
    <t>030039</t>
  </si>
  <si>
    <t>精製二砂500g</t>
  </si>
  <si>
    <t>60</t>
  </si>
  <si>
    <t>0.850852771</t>
  </si>
  <si>
    <t>13.1</t>
  </si>
  <si>
    <t>41.5</t>
  </si>
  <si>
    <t>32.8</t>
  </si>
  <si>
    <t>17.7</t>
  </si>
  <si>
    <t>030042</t>
  </si>
  <si>
    <t>精緻二砂500g</t>
  </si>
  <si>
    <t>500g*12入</t>
  </si>
  <si>
    <t>140</t>
  </si>
  <si>
    <t>14</t>
  </si>
  <si>
    <t>0.5</t>
  </si>
  <si>
    <t>6.8</t>
  </si>
  <si>
    <t>030043</t>
  </si>
  <si>
    <t>特級砂糖500g</t>
  </si>
  <si>
    <t>350g*12入</t>
  </si>
  <si>
    <t>030044</t>
  </si>
  <si>
    <t>大統華-黃砂糖454g</t>
  </si>
  <si>
    <t>454g*24入</t>
  </si>
  <si>
    <t>11.7</t>
  </si>
  <si>
    <t>0.75</t>
  </si>
  <si>
    <t>35.9</t>
  </si>
  <si>
    <t>26.8</t>
  </si>
  <si>
    <t>040001</t>
  </si>
  <si>
    <t>(小)黑糖300g</t>
  </si>
  <si>
    <t>108</t>
  </si>
  <si>
    <t>0.566119226</t>
  </si>
  <si>
    <t>8.2</t>
  </si>
  <si>
    <t>36.7</t>
  </si>
  <si>
    <t>27.3</t>
  </si>
  <si>
    <t>16</t>
  </si>
  <si>
    <t>040002</t>
  </si>
  <si>
    <t>(中)黑糖600g</t>
  </si>
  <si>
    <t>600g*12入</t>
  </si>
  <si>
    <t>100</t>
  </si>
  <si>
    <t>0.508027464</t>
  </si>
  <si>
    <t>8.1</t>
  </si>
  <si>
    <t>37</t>
  </si>
  <si>
    <t>24.3</t>
  </si>
  <si>
    <t>040009</t>
  </si>
  <si>
    <t>黑糖20kg</t>
  </si>
  <si>
    <t>20kg</t>
  </si>
  <si>
    <t>25</t>
  </si>
  <si>
    <t>2</t>
  </si>
  <si>
    <t>70.5</t>
  </si>
  <si>
    <t>46.5</t>
  </si>
  <si>
    <t>040014</t>
  </si>
  <si>
    <t>(夾)黑糖1Kg</t>
  </si>
  <si>
    <t>1000g*12入</t>
  </si>
  <si>
    <t>56</t>
  </si>
  <si>
    <t>0.768722088</t>
  </si>
  <si>
    <t>13</t>
  </si>
  <si>
    <t>47</t>
  </si>
  <si>
    <t>27.9</t>
  </si>
  <si>
    <t>16.6</t>
  </si>
  <si>
    <t>040020</t>
  </si>
  <si>
    <t>南-(小)黑糖300g-軍</t>
  </si>
  <si>
    <t>84</t>
  </si>
  <si>
    <t>0.458254503</t>
  </si>
  <si>
    <t>7.9</t>
  </si>
  <si>
    <t>26.7</t>
  </si>
  <si>
    <t>13.5</t>
  </si>
  <si>
    <t>040021</t>
  </si>
  <si>
    <t>金古早味傳統手工黑糖800g</t>
  </si>
  <si>
    <t>800g*16入</t>
  </si>
  <si>
    <t>040028</t>
  </si>
  <si>
    <t>正宗台灣味傳統黑糖900g</t>
  </si>
  <si>
    <t>900g*16入</t>
  </si>
  <si>
    <t>1.169166218</t>
  </si>
  <si>
    <t>15.8</t>
  </si>
  <si>
    <t>42.9</t>
  </si>
  <si>
    <t>32.7</t>
  </si>
  <si>
    <t>23.6</t>
  </si>
  <si>
    <t>040029</t>
  </si>
  <si>
    <t>特製黑糖400g</t>
  </si>
  <si>
    <t>5.7</t>
  </si>
  <si>
    <t>040039</t>
  </si>
  <si>
    <t>南-古早味黑糖300g</t>
  </si>
  <si>
    <t>88</t>
  </si>
  <si>
    <t>1.15</t>
  </si>
  <si>
    <t>7.8</t>
  </si>
  <si>
    <t>43</t>
  </si>
  <si>
    <t>31.5</t>
  </si>
  <si>
    <t>040040</t>
  </si>
  <si>
    <t>大統華-黑糖454g</t>
  </si>
  <si>
    <t>050005</t>
  </si>
  <si>
    <t>(中)手工冰糖600g</t>
  </si>
  <si>
    <t>96</t>
  </si>
  <si>
    <t>0.519395363</t>
  </si>
  <si>
    <t>26.5</t>
  </si>
  <si>
    <t>15</t>
  </si>
  <si>
    <t>050022</t>
  </si>
  <si>
    <t>(夾)手工冰糖1Kg</t>
  </si>
  <si>
    <t>0.75941376</t>
  </si>
  <si>
    <t>050023</t>
  </si>
  <si>
    <t>(夾)雪晶冰糖1Kg</t>
  </si>
  <si>
    <t>050030</t>
  </si>
  <si>
    <t>手工冰糖300g</t>
  </si>
  <si>
    <t>0.582217216</t>
  </si>
  <si>
    <t>36.8</t>
  </si>
  <si>
    <t>050031</t>
  </si>
  <si>
    <t>雪晶冰糖400g</t>
  </si>
  <si>
    <t>0.579894195</t>
  </si>
  <si>
    <t>10.45</t>
  </si>
  <si>
    <t>27.6</t>
  </si>
  <si>
    <t>16.3</t>
  </si>
  <si>
    <t>050032</t>
  </si>
  <si>
    <t>黃金紅冰糖750g</t>
  </si>
  <si>
    <t>750g*16入</t>
  </si>
  <si>
    <t>0.921975768</t>
  </si>
  <si>
    <t>42</t>
  </si>
  <si>
    <t>33.6</t>
  </si>
  <si>
    <t>18.5</t>
  </si>
  <si>
    <t>050034</t>
  </si>
  <si>
    <t>手工冰糖加量包360g</t>
  </si>
  <si>
    <t>360g*24入</t>
  </si>
  <si>
    <t>0.555964681</t>
  </si>
  <si>
    <t>10.4</t>
  </si>
  <si>
    <t>36.2</t>
  </si>
  <si>
    <t>27.7</t>
  </si>
  <si>
    <t>15.7</t>
  </si>
  <si>
    <t>050035</t>
  </si>
  <si>
    <t>結晶冰糖400g</t>
  </si>
  <si>
    <t>050038</t>
  </si>
  <si>
    <t>大統華-雪晶冰糖454g</t>
  </si>
  <si>
    <t>050039</t>
  </si>
  <si>
    <t>大統華-冰糖454g</t>
  </si>
  <si>
    <t>060001</t>
  </si>
  <si>
    <t>糖粉250g</t>
  </si>
  <si>
    <t>250g*12入</t>
  </si>
  <si>
    <t>220</t>
  </si>
  <si>
    <t>0.262213875</t>
  </si>
  <si>
    <t>3.7</t>
  </si>
  <si>
    <t>12.5</t>
  </si>
  <si>
    <t>1年</t>
  </si>
  <si>
    <t>060005</t>
  </si>
  <si>
    <t>糖粉20kg</t>
  </si>
  <si>
    <t>20kg*1入</t>
  </si>
  <si>
    <t>40</t>
  </si>
  <si>
    <t>060008</t>
  </si>
  <si>
    <t>純糖粉20kg</t>
  </si>
  <si>
    <t>060013</t>
  </si>
  <si>
    <t>糖粉250g-軍</t>
  </si>
  <si>
    <t>180</t>
  </si>
  <si>
    <t>060016</t>
  </si>
  <si>
    <t>糖粉A20kg</t>
  </si>
  <si>
    <t>060017</t>
  </si>
  <si>
    <t>糖粉 B 20kg</t>
  </si>
  <si>
    <t>060019</t>
  </si>
  <si>
    <t>糖粉20KG-亞世佳</t>
  </si>
  <si>
    <t>060022</t>
  </si>
  <si>
    <t>糖粉 C 20kg</t>
  </si>
  <si>
    <t>060023</t>
  </si>
  <si>
    <t>糖粉20kg(5%)</t>
  </si>
  <si>
    <t>060025</t>
  </si>
  <si>
    <t>糖粉17.5kg</t>
  </si>
  <si>
    <t>17.5kg*1入</t>
  </si>
  <si>
    <t>1.8</t>
  </si>
  <si>
    <t>19</t>
  </si>
  <si>
    <t>060026</t>
  </si>
  <si>
    <t>日正糖粉1kg</t>
  </si>
  <si>
    <t>1kg*12入</t>
  </si>
  <si>
    <t>070001</t>
  </si>
  <si>
    <t>冬瓜茶磚370g</t>
  </si>
  <si>
    <t>370g*24入</t>
  </si>
  <si>
    <t>0.383436144</t>
  </si>
  <si>
    <t>10.8</t>
  </si>
  <si>
    <t>31.2</t>
  </si>
  <si>
    <t>23.2</t>
  </si>
  <si>
    <t>070007</t>
  </si>
  <si>
    <t>南-冬瓜茶磚370g-軍</t>
  </si>
  <si>
    <t>370g*12入</t>
  </si>
  <si>
    <t>176</t>
  </si>
  <si>
    <t>0.2</t>
  </si>
  <si>
    <t>5.4</t>
  </si>
  <si>
    <t>21.5</t>
  </si>
  <si>
    <t>10.3</t>
  </si>
  <si>
    <t>070008</t>
  </si>
  <si>
    <t>黑糖冬瓜茶磚370g</t>
  </si>
  <si>
    <t>680022</t>
  </si>
  <si>
    <t>南洋風6入盒裝粉絲</t>
  </si>
  <si>
    <t>495g*6盒</t>
  </si>
  <si>
    <t>6</t>
  </si>
  <si>
    <t>080001</t>
  </si>
  <si>
    <t>(小)優質果糖500g</t>
  </si>
  <si>
    <t>0.411863306</t>
  </si>
  <si>
    <t>7.1</t>
  </si>
  <si>
    <t>20.8</t>
  </si>
  <si>
    <t>080002</t>
  </si>
  <si>
    <t>(大)優質果糖1500g</t>
  </si>
  <si>
    <t>1500g*6入</t>
  </si>
  <si>
    <t>0.518554159</t>
  </si>
  <si>
    <t>29.7</t>
  </si>
  <si>
    <t>20.6</t>
  </si>
  <si>
    <t>090003</t>
  </si>
  <si>
    <t>(家)大高筋強化麵粉1KG</t>
  </si>
  <si>
    <t>0.967263724</t>
  </si>
  <si>
    <t>090004</t>
  </si>
  <si>
    <t>(家)大中筋強化麵粉1KG</t>
  </si>
  <si>
    <t>090005</t>
  </si>
  <si>
    <t>(家)大低筋強化麵粉1KG</t>
  </si>
  <si>
    <t>090006</t>
  </si>
  <si>
    <t>(小)高筋強化麵粉500g</t>
  </si>
  <si>
    <t>0.536627529</t>
  </si>
  <si>
    <t>14.8</t>
  </si>
  <si>
    <t>090007</t>
  </si>
  <si>
    <t>(小)中筋強化麵粉500g</t>
  </si>
  <si>
    <t>090008</t>
  </si>
  <si>
    <t>(小)低筋強化麵粉500g</t>
  </si>
  <si>
    <t>090009</t>
  </si>
  <si>
    <t>FP高筋麵粉1000g</t>
  </si>
  <si>
    <t>1000g*15入</t>
  </si>
  <si>
    <t>32</t>
  </si>
  <si>
    <t>1.163515536</t>
  </si>
  <si>
    <t>15.6</t>
  </si>
  <si>
    <t>45.4</t>
  </si>
  <si>
    <t>29.5</t>
  </si>
  <si>
    <t>24.6</t>
  </si>
  <si>
    <t>365</t>
  </si>
  <si>
    <t>090010</t>
  </si>
  <si>
    <t>FP中筋麵粉1000g</t>
  </si>
  <si>
    <t>090011</t>
  </si>
  <si>
    <t>FP低筋麵粉1000g</t>
  </si>
  <si>
    <t>090022</t>
  </si>
  <si>
    <t>鑫-高筋麵粉400g</t>
  </si>
  <si>
    <t>0.840462533</t>
  </si>
  <si>
    <t>36.9</t>
  </si>
  <si>
    <t>090023</t>
  </si>
  <si>
    <t>鑫-中筋麵粉400g</t>
  </si>
  <si>
    <t>0.843840483</t>
  </si>
  <si>
    <t>36.6</t>
  </si>
  <si>
    <t>23.4</t>
  </si>
  <si>
    <t>090024</t>
  </si>
  <si>
    <t>鑫-低筋麵粉400g</t>
  </si>
  <si>
    <t>090071</t>
  </si>
  <si>
    <t>高筋麵粉500g-美廉社</t>
  </si>
  <si>
    <t>0.521028681</t>
  </si>
  <si>
    <t>6.9</t>
  </si>
  <si>
    <t>14.5</t>
  </si>
  <si>
    <t>090072</t>
  </si>
  <si>
    <t>中筋麵粉500g-美廉社</t>
  </si>
  <si>
    <t>090073</t>
  </si>
  <si>
    <t>低筋麵粉500g-美廉社</t>
  </si>
  <si>
    <t>090074</t>
  </si>
  <si>
    <t>(軍)南-高筋麵粉500g</t>
  </si>
  <si>
    <t>0.506946825</t>
  </si>
  <si>
    <t>090075</t>
  </si>
  <si>
    <t>(軍)南-中筋麵粉500g</t>
  </si>
  <si>
    <t>090076</t>
  </si>
  <si>
    <t>(軍)南-低筋麵粉500g</t>
  </si>
  <si>
    <t>090089</t>
  </si>
  <si>
    <t>FP高筋麵粉500g</t>
  </si>
  <si>
    <t>0.985387029</t>
  </si>
  <si>
    <t>12.6</t>
  </si>
  <si>
    <t>27.4</t>
  </si>
  <si>
    <t>090090</t>
  </si>
  <si>
    <t>FP中筋麵粉500g</t>
  </si>
  <si>
    <t>090091</t>
  </si>
  <si>
    <t>FP低筋麵粉500g</t>
  </si>
  <si>
    <t>090099</t>
  </si>
  <si>
    <t>日正高筋麵粉1kg(非)</t>
  </si>
  <si>
    <t>1.02</t>
  </si>
  <si>
    <t>12.8</t>
  </si>
  <si>
    <t>090100</t>
  </si>
  <si>
    <t>日正中筋麵粉1kg(非)</t>
  </si>
  <si>
    <t>090101</t>
  </si>
  <si>
    <t>日正低筋麵粉1kg(非)</t>
  </si>
  <si>
    <t>100001</t>
  </si>
  <si>
    <t>(中)寶島太白粉200g</t>
  </si>
  <si>
    <t>200g*24入</t>
  </si>
  <si>
    <t>0.494356321</t>
  </si>
  <si>
    <t>27.2</t>
  </si>
  <si>
    <t>14.1</t>
  </si>
  <si>
    <t>100003</t>
  </si>
  <si>
    <t>(大)優質太白粉400g</t>
  </si>
  <si>
    <t>144</t>
  </si>
  <si>
    <t>100004</t>
  </si>
  <si>
    <t>寶島太白粉400g</t>
  </si>
  <si>
    <t>0.47661742</t>
  </si>
  <si>
    <t>5.9</t>
  </si>
  <si>
    <t>13.3</t>
  </si>
  <si>
    <t>100005</t>
  </si>
  <si>
    <t>(家)太白粉1KG</t>
  </si>
  <si>
    <t>0.682360385</t>
  </si>
  <si>
    <t>19.2</t>
  </si>
  <si>
    <t>100006</t>
  </si>
  <si>
    <t>(家)優質太白粉1KG</t>
  </si>
  <si>
    <t>0.967611753</t>
  </si>
  <si>
    <t>27.1</t>
  </si>
  <si>
    <t>100016</t>
  </si>
  <si>
    <t>寶島太白粉1kg-FP</t>
  </si>
  <si>
    <t>12底</t>
  </si>
  <si>
    <t>1.024090856</t>
  </si>
  <si>
    <t>28.5</t>
  </si>
  <si>
    <t>100020</t>
  </si>
  <si>
    <t>(中)優質太白粉150g</t>
  </si>
  <si>
    <t>150g*24入</t>
  </si>
  <si>
    <t>0.395263138</t>
  </si>
  <si>
    <t>4.3</t>
  </si>
  <si>
    <t>11</t>
  </si>
  <si>
    <t>100021</t>
  </si>
  <si>
    <t>南-(中)優質太白粉150g</t>
  </si>
  <si>
    <t>0.393378305</t>
  </si>
  <si>
    <t>4.6</t>
  </si>
  <si>
    <t>36.4</t>
  </si>
  <si>
    <t>28.6</t>
  </si>
  <si>
    <t>10.7</t>
  </si>
  <si>
    <t>100027</t>
  </si>
  <si>
    <t>加量-寶島太白粉440g</t>
  </si>
  <si>
    <t>440g*12入</t>
  </si>
  <si>
    <t>0.461759164</t>
  </si>
  <si>
    <t>5.8</t>
  </si>
  <si>
    <t>100028</t>
  </si>
  <si>
    <t>太白粉400g-美廉社</t>
  </si>
  <si>
    <t>0.44425705</t>
  </si>
  <si>
    <t>100029</t>
  </si>
  <si>
    <t>(軍)南-寶島太白粉400g</t>
  </si>
  <si>
    <t>110</t>
  </si>
  <si>
    <t>0.477896706</t>
  </si>
  <si>
    <t>100033</t>
  </si>
  <si>
    <t>鑫-寶島太白粉400g</t>
  </si>
  <si>
    <t>100034</t>
  </si>
  <si>
    <t>台糖-高級太白粉300g</t>
  </si>
  <si>
    <t>300g*20入</t>
  </si>
  <si>
    <t>20</t>
  </si>
  <si>
    <t>0.646871918</t>
  </si>
  <si>
    <t>18.4</t>
  </si>
  <si>
    <t>100047</t>
  </si>
  <si>
    <t>FP太白粉400g</t>
  </si>
  <si>
    <t>0.863900957</t>
  </si>
  <si>
    <t>10.2</t>
  </si>
  <si>
    <t>37.2</t>
  </si>
  <si>
    <t>110003</t>
  </si>
  <si>
    <t>(家)地瓜粉1KG</t>
  </si>
  <si>
    <t>0.977339094</t>
  </si>
  <si>
    <t>110010</t>
  </si>
  <si>
    <t>FP樹薯粉1000g</t>
  </si>
  <si>
    <t>1.269426845</t>
  </si>
  <si>
    <t>48.3</t>
  </si>
  <si>
    <t>29.3</t>
  </si>
  <si>
    <t>25.4</t>
  </si>
  <si>
    <t>540</t>
  </si>
  <si>
    <t>110023</t>
  </si>
  <si>
    <t>地瓜粉400g-美廉社</t>
  </si>
  <si>
    <t>0.403523316</t>
  </si>
  <si>
    <t>110030</t>
  </si>
  <si>
    <t>寶島木薯粉400g</t>
  </si>
  <si>
    <t>0.451118472</t>
  </si>
  <si>
    <t>5.5</t>
  </si>
  <si>
    <t>110031</t>
  </si>
  <si>
    <t>寶島木薯粉1kg</t>
  </si>
  <si>
    <t>0.995305247</t>
  </si>
  <si>
    <t>110032</t>
  </si>
  <si>
    <t>木薯粉180g</t>
  </si>
  <si>
    <t>180g*24入</t>
  </si>
  <si>
    <t>0.392385813</t>
  </si>
  <si>
    <t>5.1</t>
  </si>
  <si>
    <t>10.9</t>
  </si>
  <si>
    <t>110033</t>
  </si>
  <si>
    <t>南-寶島木薯粉400g</t>
  </si>
  <si>
    <t>0.421067808</t>
  </si>
  <si>
    <t>110034</t>
  </si>
  <si>
    <t>南-木薯粉200g</t>
  </si>
  <si>
    <t>0.480164812</t>
  </si>
  <si>
    <t>37.9</t>
  </si>
  <si>
    <t>28.7</t>
  </si>
  <si>
    <t>110038</t>
  </si>
  <si>
    <t>鑫-寶島木薯粉400g</t>
  </si>
  <si>
    <t>0.819272685</t>
  </si>
  <si>
    <t>22.8</t>
  </si>
  <si>
    <t>110041</t>
  </si>
  <si>
    <t>FP樹薯粉400g</t>
  </si>
  <si>
    <t>110045</t>
  </si>
  <si>
    <t>寶島木薯粉400g(鬍鬚張)</t>
  </si>
  <si>
    <t>0.42</t>
  </si>
  <si>
    <t>120001</t>
  </si>
  <si>
    <t>水磨在來粉(調和粉)500g</t>
  </si>
  <si>
    <t>0.567219924</t>
  </si>
  <si>
    <t>7</t>
  </si>
  <si>
    <t>120002</t>
  </si>
  <si>
    <t>水磨糯米粉500g</t>
  </si>
  <si>
    <t>120003</t>
  </si>
  <si>
    <t>(家)大水磨在來米粉1K</t>
  </si>
  <si>
    <t>0.940556402</t>
  </si>
  <si>
    <t>25.8</t>
  </si>
  <si>
    <t>120013</t>
  </si>
  <si>
    <t>蘿蔔糕粉500g-軍</t>
  </si>
  <si>
    <t>0.573346088</t>
  </si>
  <si>
    <t>120014</t>
  </si>
  <si>
    <t>水磨糯米粉500g-軍</t>
  </si>
  <si>
    <t>120015</t>
  </si>
  <si>
    <t>劉師傅-在來粉(調合粉)600g</t>
  </si>
  <si>
    <t>0.620347528</t>
  </si>
  <si>
    <t>8.3</t>
  </si>
  <si>
    <t>120016</t>
  </si>
  <si>
    <t>劉師傅-糯米粉(調合粉)600g</t>
  </si>
  <si>
    <t>120021</t>
  </si>
  <si>
    <t>FP糯米粉250g</t>
  </si>
  <si>
    <t>250g*40入</t>
  </si>
  <si>
    <t>0.904048179</t>
  </si>
  <si>
    <t>25.3</t>
  </si>
  <si>
    <t>130003</t>
  </si>
  <si>
    <t>發糕粉500g</t>
  </si>
  <si>
    <t>0.476800175</t>
  </si>
  <si>
    <t>6.7</t>
  </si>
  <si>
    <t>13.7</t>
  </si>
  <si>
    <t>130006</t>
  </si>
  <si>
    <t>鬆餅粉300g</t>
  </si>
  <si>
    <t>300g*12盒</t>
  </si>
  <si>
    <t>0.449162656</t>
  </si>
  <si>
    <t>130008</t>
  </si>
  <si>
    <t>雞蛋糕粉300g</t>
  </si>
  <si>
    <t>0.505801206</t>
  </si>
  <si>
    <t>4.4</t>
  </si>
  <si>
    <t>130014</t>
  </si>
  <si>
    <t>(夾)鬆餅粉1Kg</t>
  </si>
  <si>
    <t>0.95950855</t>
  </si>
  <si>
    <t>38</t>
  </si>
  <si>
    <t>130015</t>
  </si>
  <si>
    <t>(夾)雞蛋糕粉1kg</t>
  </si>
  <si>
    <t>130022</t>
  </si>
  <si>
    <t>日正鬆餅粉1000g</t>
  </si>
  <si>
    <t>1000g*10入</t>
  </si>
  <si>
    <t>10</t>
  </si>
  <si>
    <t>0.826851284</t>
  </si>
  <si>
    <t>22.6</t>
  </si>
  <si>
    <t>130028</t>
  </si>
  <si>
    <t>鬆餅粉20kg</t>
  </si>
  <si>
    <t>130050</t>
  </si>
  <si>
    <t>嚴選鬆餅粉300G-軍</t>
  </si>
  <si>
    <t>300G*12盒</t>
  </si>
  <si>
    <t>0.445922505</t>
  </si>
  <si>
    <t>130058</t>
  </si>
  <si>
    <t>五穀鬆餅粉240g</t>
  </si>
  <si>
    <t>240g*12盒</t>
  </si>
  <si>
    <t>0.474315765</t>
  </si>
  <si>
    <t>4.8</t>
  </si>
  <si>
    <t>13.2</t>
  </si>
  <si>
    <t>130061</t>
  </si>
  <si>
    <t>發糕粉(劉師傅)1000g</t>
  </si>
  <si>
    <t>0.802684523</t>
  </si>
  <si>
    <t>130081</t>
  </si>
  <si>
    <t>日式原味吐司麵包粉300g</t>
  </si>
  <si>
    <t>300g*12入</t>
  </si>
  <si>
    <t>0.455093457</t>
  </si>
  <si>
    <t>12.7</t>
  </si>
  <si>
    <t>130083</t>
  </si>
  <si>
    <t>吐司麵包粉-原味300g</t>
  </si>
  <si>
    <t>130084</t>
  </si>
  <si>
    <t>吐司麵包粉-鄉村麵包300g</t>
  </si>
  <si>
    <t>130087</t>
  </si>
  <si>
    <t>發糕粉(劉師傅)600g</t>
  </si>
  <si>
    <t>0.646524065</t>
  </si>
  <si>
    <t>35.5</t>
  </si>
  <si>
    <t>19.1</t>
  </si>
  <si>
    <t>130092</t>
  </si>
  <si>
    <t>鬆餅粉 經典巧克力口味300g</t>
  </si>
  <si>
    <t>0.452043301</t>
  </si>
  <si>
    <t>130093</t>
  </si>
  <si>
    <t>日式厚燒鬆餅粉240g</t>
  </si>
  <si>
    <t>0.427738812</t>
  </si>
  <si>
    <t>12.1</t>
  </si>
  <si>
    <t>130095</t>
  </si>
  <si>
    <t>FP鬆餅粉120g</t>
  </si>
  <si>
    <t>120g*40入</t>
  </si>
  <si>
    <t>0.561559036</t>
  </si>
  <si>
    <t>37.1</t>
  </si>
  <si>
    <t>130096</t>
  </si>
  <si>
    <t>劉師傅-黑糖發糕粉500g</t>
  </si>
  <si>
    <t>0.536414932</t>
  </si>
  <si>
    <t>6.6</t>
  </si>
  <si>
    <t>36.1</t>
  </si>
  <si>
    <t>130098</t>
  </si>
  <si>
    <t>日正飛燕煉乳鬆餅粉320g</t>
  </si>
  <si>
    <t>320g*12盒</t>
  </si>
  <si>
    <t>0.81</t>
  </si>
  <si>
    <t>5.04</t>
  </si>
  <si>
    <t>130102</t>
  </si>
  <si>
    <t>香酥煎餅粉200g</t>
  </si>
  <si>
    <t>200G*12入</t>
  </si>
  <si>
    <t>130103</t>
  </si>
  <si>
    <t>南-香酥煎餅粉200G</t>
  </si>
  <si>
    <t>140002</t>
  </si>
  <si>
    <t>玉米粉500g</t>
  </si>
  <si>
    <t>0.589562736</t>
  </si>
  <si>
    <t>28.2</t>
  </si>
  <si>
    <t>140004</t>
  </si>
  <si>
    <t>玉米粉500G-軍</t>
  </si>
  <si>
    <t>500G*12入</t>
  </si>
  <si>
    <t>0.568858434</t>
  </si>
  <si>
    <t>16.5</t>
  </si>
  <si>
    <t>140006</t>
  </si>
  <si>
    <t>FP玉米粉330g</t>
  </si>
  <si>
    <t>330g*40入</t>
  </si>
  <si>
    <t>1.159347942</t>
  </si>
  <si>
    <t>14.2</t>
  </si>
  <si>
    <t>47.6</t>
  </si>
  <si>
    <t>29.6</t>
  </si>
  <si>
    <t>23.3</t>
  </si>
  <si>
    <t>150012</t>
  </si>
  <si>
    <t>花生粉150G</t>
  </si>
  <si>
    <t>150G*12入</t>
  </si>
  <si>
    <t>0.206848713</t>
  </si>
  <si>
    <t>2.4</t>
  </si>
  <si>
    <t>22.2</t>
  </si>
  <si>
    <t>9.7</t>
  </si>
  <si>
    <t>150016</t>
  </si>
  <si>
    <t>芝麻粉150g</t>
  </si>
  <si>
    <t>0.258018453</t>
  </si>
  <si>
    <t>12.3</t>
  </si>
  <si>
    <t>150039</t>
  </si>
  <si>
    <t>熟黃豆粉20g</t>
  </si>
  <si>
    <t>20g*200入</t>
  </si>
  <si>
    <t>200</t>
  </si>
  <si>
    <t>3.62</t>
  </si>
  <si>
    <t>9.2</t>
  </si>
  <si>
    <t>51.5</t>
  </si>
  <si>
    <t>52</t>
  </si>
  <si>
    <t>160001</t>
  </si>
  <si>
    <t>(夾)奶油濃湯粉1Kg</t>
  </si>
  <si>
    <t>160003</t>
  </si>
  <si>
    <t>日茂豐奶油焗汁粉1kg</t>
  </si>
  <si>
    <t>0.779585688</t>
  </si>
  <si>
    <t>21.9</t>
  </si>
  <si>
    <t>160006</t>
  </si>
  <si>
    <t>奶油濃湯粉20kg</t>
  </si>
  <si>
    <t>160007</t>
  </si>
  <si>
    <t>日正鮮奶油濃湯粉1000g</t>
  </si>
  <si>
    <t>1kg*10入</t>
  </si>
  <si>
    <t>0.826443043</t>
  </si>
  <si>
    <t>160014</t>
  </si>
  <si>
    <t>頂級濃湯粉1kg-A</t>
  </si>
  <si>
    <t>1000G*10入</t>
  </si>
  <si>
    <t>0.823794418</t>
  </si>
  <si>
    <t>37.6</t>
  </si>
  <si>
    <t>160033</t>
  </si>
  <si>
    <t>鮮奶油濃湯粉100g</t>
  </si>
  <si>
    <t>(100g*12入)*4盒</t>
  </si>
  <si>
    <t>0.968369084</t>
  </si>
  <si>
    <t>1.5</t>
  </si>
  <si>
    <t>44.5</t>
  </si>
  <si>
    <t>31.6</t>
  </si>
  <si>
    <t>19.5</t>
  </si>
  <si>
    <t>160076</t>
  </si>
  <si>
    <t>鮮奶油濃湯粉1kg-鴻膳行</t>
  </si>
  <si>
    <t>0.8</t>
  </si>
  <si>
    <t>160077</t>
  </si>
  <si>
    <t>海鮮濃湯粉100g</t>
  </si>
  <si>
    <t>6.2</t>
  </si>
  <si>
    <t>180006</t>
  </si>
  <si>
    <t>茉綠凍粉105g</t>
  </si>
  <si>
    <t>105g*10入*12盒</t>
  </si>
  <si>
    <t>小合計</t>
  </si>
  <si>
    <t>0.00188855</t>
  </si>
  <si>
    <t>1.25</t>
  </si>
  <si>
    <t>31</t>
  </si>
  <si>
    <t>9.5</t>
  </si>
  <si>
    <t>180011</t>
  </si>
  <si>
    <t>雞蛋布丁粉105g</t>
  </si>
  <si>
    <t>180012</t>
  </si>
  <si>
    <t>巧克力布丁粉105g</t>
  </si>
  <si>
    <t>180033</t>
  </si>
  <si>
    <t>吉利丁粉10g</t>
  </si>
  <si>
    <t>(10g*10包)*24盒</t>
  </si>
  <si>
    <t>240</t>
  </si>
  <si>
    <t>0.438941153</t>
  </si>
  <si>
    <t>0.3</t>
  </si>
  <si>
    <t>8</t>
  </si>
  <si>
    <t>190001</t>
  </si>
  <si>
    <t>麵包粉100g</t>
  </si>
  <si>
    <t>100g*12入</t>
  </si>
  <si>
    <t>160</t>
  </si>
  <si>
    <t>0.384611427</t>
  </si>
  <si>
    <t>17.9</t>
  </si>
  <si>
    <t>190003</t>
  </si>
  <si>
    <t>起司脆酥粉500g</t>
  </si>
  <si>
    <t>0.478501652</t>
  </si>
  <si>
    <t>13.8</t>
  </si>
  <si>
    <t>190025</t>
  </si>
  <si>
    <t>脆酥粉20kg</t>
  </si>
  <si>
    <t>190026</t>
  </si>
  <si>
    <t>麵包粉1000g</t>
  </si>
  <si>
    <t>2.373734806</t>
  </si>
  <si>
    <t>55</t>
  </si>
  <si>
    <t>33.3</t>
  </si>
  <si>
    <t>190028</t>
  </si>
  <si>
    <t>起司卡啦炸雞粉20kg</t>
  </si>
  <si>
    <t>190035</t>
  </si>
  <si>
    <t>起司卡啦炸雞粉3KG</t>
  </si>
  <si>
    <t>3kg*6入</t>
  </si>
  <si>
    <t>1.446467085</t>
  </si>
  <si>
    <t>19.4</t>
  </si>
  <si>
    <t>55.5</t>
  </si>
  <si>
    <t>20.5</t>
  </si>
  <si>
    <t>190046</t>
  </si>
  <si>
    <t>南-麵包粉100g</t>
  </si>
  <si>
    <t>126</t>
  </si>
  <si>
    <t>0.362484461</t>
  </si>
  <si>
    <t>21.6</t>
  </si>
  <si>
    <t>17.6</t>
  </si>
  <si>
    <t>190054</t>
  </si>
  <si>
    <t>南-起司脆酥粉500g</t>
  </si>
  <si>
    <t>99</t>
  </si>
  <si>
    <t>0.473447016</t>
  </si>
  <si>
    <t>190059</t>
  </si>
  <si>
    <t>劉師傅-起司脆酥粉1kg</t>
  </si>
  <si>
    <t>190060</t>
  </si>
  <si>
    <t>劉師傅-起司卡啦炸雞粉1kg</t>
  </si>
  <si>
    <t>190062</t>
  </si>
  <si>
    <t>杏鮑菇炸粉500g</t>
  </si>
  <si>
    <t>80</t>
  </si>
  <si>
    <t>0.567780444</t>
  </si>
  <si>
    <t>6.54</t>
  </si>
  <si>
    <t>35.2</t>
  </si>
  <si>
    <t>190064</t>
  </si>
  <si>
    <t>杏鮑菇粉500g-香繼光</t>
  </si>
  <si>
    <t>#N/A</t>
  </si>
  <si>
    <t>190065</t>
  </si>
  <si>
    <t>新酥炸粉18kg</t>
  </si>
  <si>
    <t>18.3</t>
  </si>
  <si>
    <t>190066</t>
  </si>
  <si>
    <t>雞排炸粉1kg</t>
  </si>
  <si>
    <t>1kg*18入</t>
  </si>
  <si>
    <t>18</t>
  </si>
  <si>
    <t>33</t>
  </si>
  <si>
    <t>190070</t>
  </si>
  <si>
    <t>魷魚醃料麵粉5kg-香繼光</t>
  </si>
  <si>
    <t>3</t>
  </si>
  <si>
    <t>190074</t>
  </si>
  <si>
    <t>卡啦脆酥粉500g</t>
  </si>
  <si>
    <t>0.492185155</t>
  </si>
  <si>
    <t>190075</t>
  </si>
  <si>
    <t>新酥炸粉9kg</t>
  </si>
  <si>
    <t>70</t>
  </si>
  <si>
    <t>9.3</t>
  </si>
  <si>
    <t>190076</t>
  </si>
  <si>
    <t>魷魚酥炸粉13kg</t>
  </si>
  <si>
    <t>13kg</t>
  </si>
  <si>
    <t>1.3</t>
  </si>
  <si>
    <t>190078</t>
  </si>
  <si>
    <t>新酥炸粉10kg</t>
  </si>
  <si>
    <t>10kg*1入</t>
  </si>
  <si>
    <t>190079</t>
  </si>
  <si>
    <t>裹漿粉20kg</t>
  </si>
  <si>
    <t>190080</t>
  </si>
  <si>
    <t>孜然唐揚炸粉(炸雞粉)</t>
  </si>
  <si>
    <t>100g*24入</t>
  </si>
  <si>
    <t>0.96</t>
  </si>
  <si>
    <t>17.8</t>
  </si>
  <si>
    <t>190081</t>
  </si>
  <si>
    <t>起司洋蔥唐揚炸粉(炸雞粉)</t>
  </si>
  <si>
    <t>190087</t>
  </si>
  <si>
    <t>麵包粉(4M)-潔淨版</t>
  </si>
  <si>
    <t>包*25KG</t>
  </si>
  <si>
    <t>5</t>
  </si>
  <si>
    <t>190092</t>
  </si>
  <si>
    <t>八八炸雞-醃料粉1000g</t>
  </si>
  <si>
    <t>190093</t>
  </si>
  <si>
    <t>厚老大酥炸粉1000g</t>
  </si>
  <si>
    <t>1000g*18入</t>
  </si>
  <si>
    <t>1.52</t>
  </si>
  <si>
    <t>190095</t>
  </si>
  <si>
    <t>厚老大醃料粉1000g</t>
  </si>
  <si>
    <t>210001</t>
  </si>
  <si>
    <t>小蘇打粉280g</t>
  </si>
  <si>
    <t>280g*12入</t>
  </si>
  <si>
    <t>280</t>
  </si>
  <si>
    <t>0.206324356</t>
  </si>
  <si>
    <t>4</t>
  </si>
  <si>
    <t>21.8</t>
  </si>
  <si>
    <t>210002</t>
  </si>
  <si>
    <t>優質椰子粉100g</t>
  </si>
  <si>
    <t>0.219777958</t>
  </si>
  <si>
    <t>210005</t>
  </si>
  <si>
    <t>(盒)小蘇打粉125g</t>
  </si>
  <si>
    <t>25g*5入*24盒</t>
  </si>
  <si>
    <t>4.2</t>
  </si>
  <si>
    <t>210025</t>
  </si>
  <si>
    <t>(盒)泡打粉48g</t>
  </si>
  <si>
    <t>0.434637809</t>
  </si>
  <si>
    <t>40.4</t>
  </si>
  <si>
    <t>11.2</t>
  </si>
  <si>
    <t>210036</t>
  </si>
  <si>
    <t>小蘇打粉280g-美廉社</t>
  </si>
  <si>
    <t>0.222706985</t>
  </si>
  <si>
    <t>210040</t>
  </si>
  <si>
    <t>南-小蘇打粉280g-軍</t>
  </si>
  <si>
    <t>0.210533904</t>
  </si>
  <si>
    <t>210056</t>
  </si>
  <si>
    <t>小蘇打粉1000g</t>
  </si>
  <si>
    <t>0.58</t>
  </si>
  <si>
    <t>220003</t>
  </si>
  <si>
    <t>220005</t>
  </si>
  <si>
    <t>220006</t>
  </si>
  <si>
    <t>南-(盒)速發酵母12g</t>
  </si>
  <si>
    <t>230002</t>
  </si>
  <si>
    <t>洋菜粉10g-盒裝</t>
  </si>
  <si>
    <t>10g*24包*30盒</t>
  </si>
  <si>
    <t>720</t>
  </si>
  <si>
    <t>0.01</t>
  </si>
  <si>
    <t>250001</t>
  </si>
  <si>
    <t>(小)純黑麻油270g</t>
  </si>
  <si>
    <t>270g*12入</t>
  </si>
  <si>
    <t>0.420875341</t>
  </si>
  <si>
    <t>7.2</t>
  </si>
  <si>
    <t>24.7</t>
  </si>
  <si>
    <t>250002</t>
  </si>
  <si>
    <t>大純黑麻油480g</t>
  </si>
  <si>
    <t>480g*12入</t>
  </si>
  <si>
    <t>0.506131049</t>
  </si>
  <si>
    <t>250003</t>
  </si>
  <si>
    <t>(大)小磨香油480g</t>
  </si>
  <si>
    <t>0.503590487</t>
  </si>
  <si>
    <t>19.8</t>
  </si>
  <si>
    <t>250004</t>
  </si>
  <si>
    <t>(中)小磨香油270g</t>
  </si>
  <si>
    <t>0.402356826</t>
  </si>
  <si>
    <t>23.9</t>
  </si>
  <si>
    <t>250005</t>
  </si>
  <si>
    <t>(小)小磨香油50g</t>
  </si>
  <si>
    <t>50g*12入</t>
  </si>
  <si>
    <t>0.189073685</t>
  </si>
  <si>
    <t>3.2</t>
  </si>
  <si>
    <t>250063</t>
  </si>
  <si>
    <t>惠康芝麻香油</t>
  </si>
  <si>
    <t>300ml*12入</t>
  </si>
  <si>
    <t>156</t>
  </si>
  <si>
    <t>0.392848298</t>
  </si>
  <si>
    <t>7.3</t>
  </si>
  <si>
    <t>23.8</t>
  </si>
  <si>
    <t>250064</t>
  </si>
  <si>
    <t>惠康黑麻油</t>
  </si>
  <si>
    <t>250075</t>
  </si>
  <si>
    <t>南-(小)純黑麻油270g</t>
  </si>
  <si>
    <t>250076</t>
  </si>
  <si>
    <t>南 -大純麻油525ml</t>
  </si>
  <si>
    <t>525ml*12入</t>
  </si>
  <si>
    <t>250077</t>
  </si>
  <si>
    <t>南-(小)小磨香油55ml</t>
  </si>
  <si>
    <t>55ml*12入</t>
  </si>
  <si>
    <t>248</t>
  </si>
  <si>
    <t>250078</t>
  </si>
  <si>
    <t>南-(中)小磨香油295ml</t>
  </si>
  <si>
    <t>295ml*12入</t>
  </si>
  <si>
    <t>250079</t>
  </si>
  <si>
    <t>頂級胡麻油3L</t>
  </si>
  <si>
    <t>3L*6入</t>
  </si>
  <si>
    <t>17.5</t>
  </si>
  <si>
    <t>29</t>
  </si>
  <si>
    <t>250080</t>
  </si>
  <si>
    <t>特級麻油3L</t>
  </si>
  <si>
    <t>250081</t>
  </si>
  <si>
    <t>頂級小磨香油3L</t>
  </si>
  <si>
    <t>250082</t>
  </si>
  <si>
    <t>特級香油3L</t>
  </si>
  <si>
    <t>250083</t>
  </si>
  <si>
    <t>特級麻油525ml</t>
  </si>
  <si>
    <t>0.491690745</t>
  </si>
  <si>
    <t>25.5</t>
  </si>
  <si>
    <t>250084</t>
  </si>
  <si>
    <t>特級香油525ml</t>
  </si>
  <si>
    <t>250085</t>
  </si>
  <si>
    <t>大純黑麻油525ml-四方瓶</t>
  </si>
  <si>
    <t>11.1</t>
  </si>
  <si>
    <t>250086</t>
  </si>
  <si>
    <t>(小)純黑麻油240ml-四方瓶</t>
  </si>
  <si>
    <t>240ml*12入</t>
  </si>
  <si>
    <t>0.363094704</t>
  </si>
  <si>
    <t>6.3</t>
  </si>
  <si>
    <t>250087</t>
  </si>
  <si>
    <t>(大)小磨香油525ml-四方瓶</t>
  </si>
  <si>
    <t>0.496733727</t>
  </si>
  <si>
    <t>19.7</t>
  </si>
  <si>
    <t>250088</t>
  </si>
  <si>
    <t>(中)小磨香油240ml-四方瓶</t>
  </si>
  <si>
    <t>0.393810278</t>
  </si>
  <si>
    <t>6.4</t>
  </si>
  <si>
    <t>24.2</t>
  </si>
  <si>
    <t>250091</t>
  </si>
  <si>
    <t>特級麻油270g(295ml)</t>
  </si>
  <si>
    <t>270g(295ml)*12入</t>
  </si>
  <si>
    <t>250092</t>
  </si>
  <si>
    <t>特級香油270g(295ml)</t>
  </si>
  <si>
    <t>250093</t>
  </si>
  <si>
    <t>美食家沙拉油3.0L</t>
  </si>
  <si>
    <t>3.0L*6入</t>
  </si>
  <si>
    <t>45</t>
  </si>
  <si>
    <t>1.255519586</t>
  </si>
  <si>
    <t>32.2</t>
  </si>
  <si>
    <t>30.5</t>
  </si>
  <si>
    <t>250094</t>
  </si>
  <si>
    <t>美食家沙拉油2.6L</t>
  </si>
  <si>
    <t>2.6L*6入</t>
  </si>
  <si>
    <t>1.202214984</t>
  </si>
  <si>
    <t>33.2</t>
  </si>
  <si>
    <t>33.4</t>
  </si>
  <si>
    <t>30.7</t>
  </si>
  <si>
    <t>250096</t>
  </si>
  <si>
    <t>特選麻油3L</t>
  </si>
  <si>
    <t>3公升*6瓶</t>
  </si>
  <si>
    <t>250097</t>
  </si>
  <si>
    <t>冷壓香油240ml</t>
  </si>
  <si>
    <t>0.297066955</t>
  </si>
  <si>
    <t>6.5</t>
  </si>
  <si>
    <t>250100</t>
  </si>
  <si>
    <t>古法萃煉  冷壓麻油240ml</t>
  </si>
  <si>
    <t>250101</t>
  </si>
  <si>
    <t>胡麻油240ml</t>
  </si>
  <si>
    <t>0.30455656</t>
  </si>
  <si>
    <t>24.5</t>
  </si>
  <si>
    <t>250105</t>
  </si>
  <si>
    <t>胡麻油500ml</t>
  </si>
  <si>
    <t>500ml*12入</t>
  </si>
  <si>
    <t>0.44885365</t>
  </si>
  <si>
    <t>24.8</t>
  </si>
  <si>
    <t>250106</t>
  </si>
  <si>
    <t>特級香油500ml</t>
  </si>
  <si>
    <t>0.504604381</t>
  </si>
  <si>
    <t>28.3</t>
  </si>
  <si>
    <t>250107</t>
  </si>
  <si>
    <t>(大)小磨香油500ml-四方瓶</t>
  </si>
  <si>
    <t>0.503816786</t>
  </si>
  <si>
    <t>28.8</t>
  </si>
  <si>
    <t>730</t>
  </si>
  <si>
    <t>250108</t>
  </si>
  <si>
    <t>特級麻油500ml</t>
  </si>
  <si>
    <t>0.502807907</t>
  </si>
  <si>
    <t>25.7</t>
  </si>
  <si>
    <t>250117</t>
  </si>
  <si>
    <t>頂級小磨香油240ml-四方瓶</t>
  </si>
  <si>
    <t>260005</t>
  </si>
  <si>
    <t>(袋)黑棗四物雞70g</t>
  </si>
  <si>
    <t>70g*6包*25袋</t>
  </si>
  <si>
    <t>150</t>
  </si>
  <si>
    <t>2.15563325</t>
  </si>
  <si>
    <t>46</t>
  </si>
  <si>
    <t>29.1</t>
  </si>
  <si>
    <t>45.6</t>
  </si>
  <si>
    <t>260006</t>
  </si>
  <si>
    <t>(袋)四神湯90g</t>
  </si>
  <si>
    <t>90g*6包*25袋</t>
  </si>
  <si>
    <t>260027</t>
  </si>
  <si>
    <t>南-(袋)黑棗燒酒雞70g</t>
  </si>
  <si>
    <t>70g*6包*6袋</t>
  </si>
  <si>
    <t>0.566081086</t>
  </si>
  <si>
    <t>3.5</t>
  </si>
  <si>
    <t>15.5</t>
  </si>
  <si>
    <t>260028</t>
  </si>
  <si>
    <t>南-(袋)黑棗四物雞70g</t>
  </si>
  <si>
    <t>260029</t>
  </si>
  <si>
    <t>南-(袋)四神湯90g</t>
  </si>
  <si>
    <t>90g*6包*6袋</t>
  </si>
  <si>
    <t>260052</t>
  </si>
  <si>
    <t>肉骨茶37g(粉體)</t>
  </si>
  <si>
    <t>37g*6包*25袋</t>
  </si>
  <si>
    <t>1.965779104</t>
  </si>
  <si>
    <t>8.5</t>
  </si>
  <si>
    <t>260053</t>
  </si>
  <si>
    <t>羊肉爐37g(粉體)</t>
  </si>
  <si>
    <t>260054</t>
  </si>
  <si>
    <t>薑母鴨37g(粉體)</t>
  </si>
  <si>
    <t>260055</t>
  </si>
  <si>
    <t>燒酒蝦26g(粉體)</t>
  </si>
  <si>
    <t>26g*6包*25袋</t>
  </si>
  <si>
    <t>260056</t>
  </si>
  <si>
    <t>燒酒雞37g(粉體)</t>
  </si>
  <si>
    <t>260057</t>
  </si>
  <si>
    <t>37g*24入</t>
  </si>
  <si>
    <t>1.4</t>
  </si>
  <si>
    <t>260058</t>
  </si>
  <si>
    <t>260059</t>
  </si>
  <si>
    <t>260060</t>
  </si>
  <si>
    <t>26g*24入</t>
  </si>
  <si>
    <t>260061</t>
  </si>
  <si>
    <t>270006</t>
  </si>
  <si>
    <t>(小)柴魚花5g</t>
  </si>
  <si>
    <t>5g*12入*25組</t>
  </si>
  <si>
    <t>300</t>
  </si>
  <si>
    <t>7.009277056</t>
  </si>
  <si>
    <t>68.5</t>
  </si>
  <si>
    <t>61</t>
  </si>
  <si>
    <t>47.5</t>
  </si>
  <si>
    <t>270007</t>
  </si>
  <si>
    <t>大柴魚花15g</t>
  </si>
  <si>
    <t>15g*12入*2組</t>
  </si>
  <si>
    <t>0.695860709</t>
  </si>
  <si>
    <t>1.2</t>
  </si>
  <si>
    <t>34.7</t>
  </si>
  <si>
    <t>270018</t>
  </si>
  <si>
    <t>純油蔥酥600G</t>
  </si>
  <si>
    <t>600G*10入</t>
  </si>
  <si>
    <t>1.003046295</t>
  </si>
  <si>
    <t>28.4</t>
  </si>
  <si>
    <t>270019</t>
  </si>
  <si>
    <t>豆豉40g</t>
  </si>
  <si>
    <t>40g*12入*12盒</t>
  </si>
  <si>
    <t>360</t>
  </si>
  <si>
    <t>1.045230768</t>
  </si>
  <si>
    <t>38.2</t>
  </si>
  <si>
    <t>29.8</t>
  </si>
  <si>
    <t>270021</t>
  </si>
  <si>
    <t>油蔥酥150g-美廉社</t>
  </si>
  <si>
    <t>0.3496185</t>
  </si>
  <si>
    <t>270022</t>
  </si>
  <si>
    <t>油蔥酥120g-南北坊</t>
  </si>
  <si>
    <t>120g*12入</t>
  </si>
  <si>
    <t>0.380307235</t>
  </si>
  <si>
    <t>2.1</t>
  </si>
  <si>
    <t>270028</t>
  </si>
  <si>
    <t>油蔥酥120g</t>
  </si>
  <si>
    <t>0.376926883</t>
  </si>
  <si>
    <t>270029</t>
  </si>
  <si>
    <t>蒜頭酥120g</t>
  </si>
  <si>
    <t>0.291636638</t>
  </si>
  <si>
    <t>21.7</t>
  </si>
  <si>
    <t>280049</t>
  </si>
  <si>
    <t>高純度黑豆蔭油400ml</t>
  </si>
  <si>
    <t>400ml*12入</t>
  </si>
  <si>
    <t>0.586776383</t>
  </si>
  <si>
    <t>9.98</t>
  </si>
  <si>
    <t>21.2</t>
  </si>
  <si>
    <t>280050</t>
  </si>
  <si>
    <t>紅麴黑豆蔭油膏400ml</t>
  </si>
  <si>
    <t>10.25</t>
  </si>
  <si>
    <t>280051</t>
  </si>
  <si>
    <t>老味道黑豆蔭油400ml</t>
  </si>
  <si>
    <t>10.16</t>
  </si>
  <si>
    <t>280054</t>
  </si>
  <si>
    <t>秋菊級黑豆蔭油1560ml</t>
  </si>
  <si>
    <t>1560ml*6入</t>
  </si>
  <si>
    <t>0.810213681</t>
  </si>
  <si>
    <t>12.11</t>
  </si>
  <si>
    <t>34.1</t>
  </si>
  <si>
    <t>280055</t>
  </si>
  <si>
    <t>紅燒滷肉醬400ml</t>
  </si>
  <si>
    <t>280056</t>
  </si>
  <si>
    <t>日式純釀醬油400ml</t>
  </si>
  <si>
    <t>9.845</t>
  </si>
  <si>
    <t>280057</t>
  </si>
  <si>
    <t>薄鹽黑豆蔭油膏400ml</t>
  </si>
  <si>
    <t>9.9</t>
  </si>
  <si>
    <t>280061</t>
  </si>
  <si>
    <t>黑豆滷汁1560ml</t>
  </si>
  <si>
    <t>12.365</t>
  </si>
  <si>
    <t>280062</t>
  </si>
  <si>
    <t>黑豆蔭油露1560ml</t>
  </si>
  <si>
    <t>12.09</t>
  </si>
  <si>
    <t>280063</t>
  </si>
  <si>
    <t>白蔭油1560ml</t>
  </si>
  <si>
    <t>12.42</t>
  </si>
  <si>
    <t>290043</t>
  </si>
  <si>
    <t>哈哈豆瓣醬(大)450g</t>
  </si>
  <si>
    <t>450g*12入</t>
  </si>
  <si>
    <t>0.392090085</t>
  </si>
  <si>
    <t>290044</t>
  </si>
  <si>
    <t>哈哈辣豆瓣醬(大)450g</t>
  </si>
  <si>
    <t>300001</t>
  </si>
  <si>
    <t>小米300g</t>
  </si>
  <si>
    <t>0.256170631</t>
  </si>
  <si>
    <t>12.2</t>
  </si>
  <si>
    <t>300002</t>
  </si>
  <si>
    <t>大麥仁(洋薏仁)300g</t>
  </si>
  <si>
    <t>0.262524647</t>
  </si>
  <si>
    <t>12.4</t>
  </si>
  <si>
    <t>300003</t>
  </si>
  <si>
    <t>西谷米200g</t>
  </si>
  <si>
    <t>200g*12入</t>
  </si>
  <si>
    <t>0.208617359</t>
  </si>
  <si>
    <t>22.1</t>
  </si>
  <si>
    <t>300005</t>
  </si>
  <si>
    <t>青-小米500g</t>
  </si>
  <si>
    <t>500公克*12入</t>
  </si>
  <si>
    <t>0.452072683</t>
  </si>
  <si>
    <t>39.2</t>
  </si>
  <si>
    <t>300007</t>
  </si>
  <si>
    <t>青-西谷米500g</t>
  </si>
  <si>
    <t>0.450010146</t>
  </si>
  <si>
    <t>39.4</t>
  </si>
  <si>
    <t>300008</t>
  </si>
  <si>
    <t>青-黑糯糙米600g</t>
  </si>
  <si>
    <t>600公克*12入</t>
  </si>
  <si>
    <t>0.436929893</t>
  </si>
  <si>
    <t>38.5</t>
  </si>
  <si>
    <t>300017</t>
  </si>
  <si>
    <t>青-健康十穀米600g</t>
  </si>
  <si>
    <t>300025</t>
  </si>
  <si>
    <t>青-健康十穀米1.5kg</t>
  </si>
  <si>
    <t>1.5kg*12入</t>
  </si>
  <si>
    <t>1.040697735</t>
  </si>
  <si>
    <t>300029</t>
  </si>
  <si>
    <t>穀色穀香-十穀米1KG</t>
  </si>
  <si>
    <t>1KG*12入</t>
  </si>
  <si>
    <t>8底</t>
  </si>
  <si>
    <t>0.686577279</t>
  </si>
  <si>
    <t>46.6</t>
  </si>
  <si>
    <t>14.9</t>
  </si>
  <si>
    <t>300036</t>
  </si>
  <si>
    <t>健康十穀米1500g-FP</t>
  </si>
  <si>
    <t>1500g*12入</t>
  </si>
  <si>
    <t>1.154931166</t>
  </si>
  <si>
    <t>48.2</t>
  </si>
  <si>
    <t>300038</t>
  </si>
  <si>
    <t>南-大麥仁(洋薏仁)300g</t>
  </si>
  <si>
    <t>300041</t>
  </si>
  <si>
    <t>青-免浸免泡七穀飯1.3kg</t>
  </si>
  <si>
    <t>1.3kg*12入</t>
  </si>
  <si>
    <t>1.116384843</t>
  </si>
  <si>
    <t>17.3</t>
  </si>
  <si>
    <t>47.2</t>
  </si>
  <si>
    <t>23.5</t>
  </si>
  <si>
    <t>300045</t>
  </si>
  <si>
    <t>青-綠豆十穀粥600g</t>
  </si>
  <si>
    <t>0.455532423</t>
  </si>
  <si>
    <t>39.5</t>
  </si>
  <si>
    <t>300046</t>
  </si>
  <si>
    <t>青-紅豆十穀粥600g</t>
  </si>
  <si>
    <t>0.447603852</t>
  </si>
  <si>
    <t>39</t>
  </si>
  <si>
    <t>20.7</t>
  </si>
  <si>
    <t>300048</t>
  </si>
  <si>
    <t>青-十八穀1.2kg</t>
  </si>
  <si>
    <t>1.2kg*12入</t>
  </si>
  <si>
    <t>0.914959384</t>
  </si>
  <si>
    <t>15.9</t>
  </si>
  <si>
    <t>50.5</t>
  </si>
  <si>
    <t>300051</t>
  </si>
  <si>
    <t>十穀米400g-商美</t>
  </si>
  <si>
    <t>0.857774016</t>
  </si>
  <si>
    <t>300052</t>
  </si>
  <si>
    <t>十穀米1.5kg-家福</t>
  </si>
  <si>
    <t>1.5kg*8入</t>
  </si>
  <si>
    <t>0.746672108</t>
  </si>
  <si>
    <t>21.4</t>
  </si>
  <si>
    <t>300053</t>
  </si>
  <si>
    <t>多寶燕麥1.8kg-家福</t>
  </si>
  <si>
    <t>1.8kg*9入</t>
  </si>
  <si>
    <t>1.001445113</t>
  </si>
  <si>
    <t>17.2</t>
  </si>
  <si>
    <t>19.9</t>
  </si>
  <si>
    <t>300054</t>
  </si>
  <si>
    <t>免浸泡五穀飯1.8kg-家福</t>
  </si>
  <si>
    <t>0.99636844</t>
  </si>
  <si>
    <t>45.3</t>
  </si>
  <si>
    <t>20.9</t>
  </si>
  <si>
    <t>300059</t>
  </si>
  <si>
    <t>大穀倉-大麥仁(洋薏仁)600g-臥式</t>
  </si>
  <si>
    <t>600g*24入</t>
  </si>
  <si>
    <t>35</t>
  </si>
  <si>
    <t>0.931309099</t>
  </si>
  <si>
    <t>45.2</t>
  </si>
  <si>
    <t>300063</t>
  </si>
  <si>
    <t>大穀倉-黑糯糙米600g</t>
  </si>
  <si>
    <t>0.935235844</t>
  </si>
  <si>
    <t>18.9</t>
  </si>
  <si>
    <t>300088</t>
  </si>
  <si>
    <t>頂好牌-十穀米1.5kg</t>
  </si>
  <si>
    <t>1.085131068</t>
  </si>
  <si>
    <t>300089</t>
  </si>
  <si>
    <t>青-十穀米1.2kg</t>
  </si>
  <si>
    <t>300090</t>
  </si>
  <si>
    <t>紫米紅豆400g-全新</t>
  </si>
  <si>
    <t>0.398063193</t>
  </si>
  <si>
    <t>38.8</t>
  </si>
  <si>
    <t>13.9</t>
  </si>
  <si>
    <t>300091</t>
  </si>
  <si>
    <t>健康七穀米20kg</t>
  </si>
  <si>
    <t>300094</t>
  </si>
  <si>
    <t>黑糯糙米500g-全新穀堡</t>
  </si>
  <si>
    <t>300095</t>
  </si>
  <si>
    <t>西谷米200g-台灣第一味</t>
  </si>
  <si>
    <t>3.1</t>
  </si>
  <si>
    <t>300097</t>
  </si>
  <si>
    <t>十八穀400g</t>
  </si>
  <si>
    <t>300099</t>
  </si>
  <si>
    <t>七穀飯1.3kg(紙盒)</t>
  </si>
  <si>
    <t>300100</t>
  </si>
  <si>
    <t>十八穀1.2kg(紙盒)</t>
  </si>
  <si>
    <t>300101</t>
  </si>
  <si>
    <t>十穀1.2kg(紙盒)</t>
  </si>
  <si>
    <t>300102</t>
  </si>
  <si>
    <t>七穀飯400g</t>
  </si>
  <si>
    <t>300109</t>
  </si>
  <si>
    <t>十穀米4000g-FP</t>
  </si>
  <si>
    <t>4000g*4入</t>
  </si>
  <si>
    <t>0.952551495</t>
  </si>
  <si>
    <t>17</t>
  </si>
  <si>
    <t>300111</t>
  </si>
  <si>
    <t>紅豆十二穀400g</t>
  </si>
  <si>
    <t>0.362253854</t>
  </si>
  <si>
    <t>300112</t>
  </si>
  <si>
    <t>多寶十六穀400g</t>
  </si>
  <si>
    <t>300124</t>
  </si>
  <si>
    <t>十榖米-英文版454g</t>
  </si>
  <si>
    <t>0.762804</t>
  </si>
  <si>
    <t>300126</t>
  </si>
  <si>
    <t>十穀米-法鼓山200g</t>
  </si>
  <si>
    <t>300127</t>
  </si>
  <si>
    <t>青-白米好朋友-多穀米</t>
  </si>
  <si>
    <t>(40g*6入)*12袋</t>
  </si>
  <si>
    <t>0.63</t>
  </si>
  <si>
    <t>3.6</t>
  </si>
  <si>
    <t>300132</t>
  </si>
  <si>
    <t>全新穀堡-十穀米1.2kg</t>
  </si>
  <si>
    <t>0.981343108</t>
  </si>
  <si>
    <t>300133</t>
  </si>
  <si>
    <t>青-白米好朋友-微穀米(30g*6入)</t>
  </si>
  <si>
    <t>(30g*6入)*12袋</t>
  </si>
  <si>
    <t>300134</t>
  </si>
  <si>
    <t>西谷米1kg</t>
  </si>
  <si>
    <t>300137</t>
  </si>
  <si>
    <t>五穀米(一)</t>
  </si>
  <si>
    <t>300138</t>
  </si>
  <si>
    <t>五穀米(二)</t>
  </si>
  <si>
    <t>300142</t>
  </si>
  <si>
    <t>十八穀1.2kg</t>
  </si>
  <si>
    <t>300149</t>
  </si>
  <si>
    <t>黑糯糙米20KG</t>
  </si>
  <si>
    <t>300150</t>
  </si>
  <si>
    <t>青的農場-多穀鮮蔬飯1kg</t>
  </si>
  <si>
    <t>0.831</t>
  </si>
  <si>
    <t>310002</t>
  </si>
  <si>
    <t>綠豆大麥仁(洋薏仁)400g</t>
  </si>
  <si>
    <t>0.582872662</t>
  </si>
  <si>
    <t>16.4</t>
  </si>
  <si>
    <t>310011</t>
  </si>
  <si>
    <t>青-綠豆大麥仁(洋薏仁)600g</t>
  </si>
  <si>
    <t>0.45174948</t>
  </si>
  <si>
    <t>310023</t>
  </si>
  <si>
    <t>南-綠豆大麥仁(洋薏仁)350g-軍</t>
  </si>
  <si>
    <t>170</t>
  </si>
  <si>
    <t>0.257948529</t>
  </si>
  <si>
    <t>4.9</t>
  </si>
  <si>
    <t>11.9</t>
  </si>
  <si>
    <t>310032</t>
  </si>
  <si>
    <t>(盒)椰奶西米露200G</t>
  </si>
  <si>
    <t>0.367099425</t>
  </si>
  <si>
    <t>310048</t>
  </si>
  <si>
    <t>蒟蒻紅豆湯330g</t>
  </si>
  <si>
    <t>330g*24罐</t>
  </si>
  <si>
    <t>0.493739015</t>
  </si>
  <si>
    <t>41</t>
  </si>
  <si>
    <t>310056</t>
  </si>
  <si>
    <t>紅豆紫米薏仁330g(罐)</t>
  </si>
  <si>
    <t>330g*24入</t>
  </si>
  <si>
    <t>0.484414442</t>
  </si>
  <si>
    <t>310060</t>
  </si>
  <si>
    <t>蒟蒻紅豆湯330g(罐)-3入</t>
  </si>
  <si>
    <t>(330g*3罐)*8組</t>
  </si>
  <si>
    <t>0.48243539</t>
  </si>
  <si>
    <t>41.7</t>
  </si>
  <si>
    <t>310063</t>
  </si>
  <si>
    <t>紅豆紫米薏仁330g(罐)-3入</t>
  </si>
  <si>
    <t>(330g*3入)*8組</t>
  </si>
  <si>
    <t>0.471126821</t>
  </si>
  <si>
    <t>40.5</t>
  </si>
  <si>
    <t>310075</t>
  </si>
  <si>
    <t>綠豆大麥仁400g-全新穀堡</t>
  </si>
  <si>
    <t>0.359814647</t>
  </si>
  <si>
    <t>5.2</t>
  </si>
  <si>
    <t>320001</t>
  </si>
  <si>
    <t>(家)綠豆子1kg</t>
  </si>
  <si>
    <t>0.721077562</t>
  </si>
  <si>
    <t>320003</t>
  </si>
  <si>
    <t>綠豆子400g</t>
  </si>
  <si>
    <t>320004</t>
  </si>
  <si>
    <t>紅豆400g(產銷履歷)</t>
  </si>
  <si>
    <t>0.546295434</t>
  </si>
  <si>
    <t>320006</t>
  </si>
  <si>
    <t>薏仁300g</t>
  </si>
  <si>
    <t>0.266758916</t>
  </si>
  <si>
    <t>320014</t>
  </si>
  <si>
    <t>青-綠豆仁600g</t>
  </si>
  <si>
    <t>0.450605274</t>
  </si>
  <si>
    <t>320015</t>
  </si>
  <si>
    <t>青-毛綠豆600g</t>
  </si>
  <si>
    <t>320018</t>
  </si>
  <si>
    <t>青-大薏仁550g</t>
  </si>
  <si>
    <t>550g*12入</t>
  </si>
  <si>
    <t>7.4</t>
  </si>
  <si>
    <t>320019</t>
  </si>
  <si>
    <t>青-大麥仁(洋薏仁)550g</t>
  </si>
  <si>
    <t>550公克*12入</t>
  </si>
  <si>
    <t>320020</t>
  </si>
  <si>
    <t>青-紅薏仁500g</t>
  </si>
  <si>
    <t>320022</t>
  </si>
  <si>
    <t>青-綠豆600g</t>
  </si>
  <si>
    <t>0.454669324</t>
  </si>
  <si>
    <t>39.3</t>
  </si>
  <si>
    <t>320045</t>
  </si>
  <si>
    <t>青-非基改黃豆550g</t>
  </si>
  <si>
    <t>320055</t>
  </si>
  <si>
    <t>有機黃豆500g-青的</t>
  </si>
  <si>
    <t>0.438196996</t>
  </si>
  <si>
    <t>320056</t>
  </si>
  <si>
    <t>有機紅豆500g-青的</t>
  </si>
  <si>
    <t>320058</t>
  </si>
  <si>
    <t>有機綠豆600g-青的</t>
  </si>
  <si>
    <t>320069</t>
  </si>
  <si>
    <t>毛綠豆350g</t>
  </si>
  <si>
    <t>350g*24入</t>
  </si>
  <si>
    <t>0.554405947</t>
  </si>
  <si>
    <t>320070</t>
  </si>
  <si>
    <t>綠豆仁300g</t>
  </si>
  <si>
    <t>0.247529898</t>
  </si>
  <si>
    <t>11.8</t>
  </si>
  <si>
    <t>320085</t>
  </si>
  <si>
    <t>大穀倉-紅豆600g-臥式</t>
  </si>
  <si>
    <t>320088</t>
  </si>
  <si>
    <t>大穀倉-綠豆600g-臥式</t>
  </si>
  <si>
    <t>320090</t>
  </si>
  <si>
    <t>大穀倉-毛綠豆600g-臥式</t>
  </si>
  <si>
    <t>320091</t>
  </si>
  <si>
    <t>大穀倉-非基改黃豆600g-臥式</t>
  </si>
  <si>
    <t>1.01643633</t>
  </si>
  <si>
    <t>320092</t>
  </si>
  <si>
    <t>大穀倉-大薏仁600g-臥式</t>
  </si>
  <si>
    <t>1.016436</t>
  </si>
  <si>
    <t>320100</t>
  </si>
  <si>
    <t>鑫-綠豆350g</t>
  </si>
  <si>
    <t>0.514888992</t>
  </si>
  <si>
    <t>36.3</t>
  </si>
  <si>
    <t>320103</t>
  </si>
  <si>
    <t>健-毛綠豆600g</t>
  </si>
  <si>
    <t>91</t>
  </si>
  <si>
    <t>0.446195137</t>
  </si>
  <si>
    <t>38.9</t>
  </si>
  <si>
    <t>20.3</t>
  </si>
  <si>
    <t>320110</t>
  </si>
  <si>
    <t>(軍)南-綠豆350g</t>
  </si>
  <si>
    <t>0.51616404</t>
  </si>
  <si>
    <t>9.4</t>
  </si>
  <si>
    <t>320111</t>
  </si>
  <si>
    <t>(軍)南-台灣紅豆350g</t>
  </si>
  <si>
    <t>0.504891492</t>
  </si>
  <si>
    <t>320122</t>
  </si>
  <si>
    <t>豐之穀-綠豆600g-臥式</t>
  </si>
  <si>
    <t>0.959267843</t>
  </si>
  <si>
    <t>44.6</t>
  </si>
  <si>
    <t>33.1</t>
  </si>
  <si>
    <t>320126</t>
  </si>
  <si>
    <t>紅豆400g</t>
  </si>
  <si>
    <t>0.595730148</t>
  </si>
  <si>
    <t>320127</t>
  </si>
  <si>
    <t>青-紅豆600g</t>
  </si>
  <si>
    <t>0.4160107</t>
  </si>
  <si>
    <t>320129</t>
  </si>
  <si>
    <t>非基改黃豆350g</t>
  </si>
  <si>
    <t>0.321959792</t>
  </si>
  <si>
    <t>320130</t>
  </si>
  <si>
    <t>毛綠豆500g-全新穀堡</t>
  </si>
  <si>
    <t>320131</t>
  </si>
  <si>
    <t>有機綠豆500g-全新穀堡</t>
  </si>
  <si>
    <t>320132</t>
  </si>
  <si>
    <t>有機紅豆500g-全新穀堡</t>
  </si>
  <si>
    <t>320133</t>
  </si>
  <si>
    <t>有機黃豆500g-全新穀堡</t>
  </si>
  <si>
    <t>320134</t>
  </si>
  <si>
    <t>白芝麻120g</t>
  </si>
  <si>
    <t>0.216064233</t>
  </si>
  <si>
    <t>320135</t>
  </si>
  <si>
    <t>青-非基改黃豆(省產)550g</t>
  </si>
  <si>
    <t>0.460394592</t>
  </si>
  <si>
    <t>320136</t>
  </si>
  <si>
    <t>老鷹紅豆(契作)300g</t>
  </si>
  <si>
    <t>128</t>
  </si>
  <si>
    <t>0.4</t>
  </si>
  <si>
    <t>320137</t>
  </si>
  <si>
    <t>紅豆-省產履歷550g</t>
  </si>
  <si>
    <t>0.468552357</t>
  </si>
  <si>
    <t>7.5</t>
  </si>
  <si>
    <t>16.2</t>
  </si>
  <si>
    <t>320139</t>
  </si>
  <si>
    <t>台灣非基改黃豆350g</t>
  </si>
  <si>
    <t>小盒計</t>
  </si>
  <si>
    <t>0.375156542</t>
  </si>
  <si>
    <t>320141</t>
  </si>
  <si>
    <t>綠豆400g-全新穀堡</t>
  </si>
  <si>
    <t>320147</t>
  </si>
  <si>
    <t>台灣履歷紅豆300g</t>
  </si>
  <si>
    <t>0.36</t>
  </si>
  <si>
    <t>26.6</t>
  </si>
  <si>
    <t>320148</t>
  </si>
  <si>
    <t>豐之穀-綠豆200g</t>
  </si>
  <si>
    <t>200g*48入</t>
  </si>
  <si>
    <t>0.94945218</t>
  </si>
  <si>
    <t>43.9</t>
  </si>
  <si>
    <t>35.4</t>
  </si>
  <si>
    <t>320150</t>
  </si>
  <si>
    <t>日正-嚴選非基改黃豆1kg</t>
  </si>
  <si>
    <t>0.86</t>
  </si>
  <si>
    <t>320151</t>
  </si>
  <si>
    <t>鮮採履歷紅豆250g</t>
  </si>
  <si>
    <t>0.27</t>
  </si>
  <si>
    <t>3.64</t>
  </si>
  <si>
    <t>320153</t>
  </si>
  <si>
    <t>日正綠豆1kg</t>
  </si>
  <si>
    <t>320154</t>
  </si>
  <si>
    <t>日正紅豆1kg</t>
  </si>
  <si>
    <t>330006</t>
  </si>
  <si>
    <t>爆米花55g─甜</t>
  </si>
  <si>
    <t>(55g*12入)20盒</t>
  </si>
  <si>
    <t>0.256934989</t>
  </si>
  <si>
    <t>19.6</t>
  </si>
  <si>
    <t>330007</t>
  </si>
  <si>
    <t>爆米花55g─鹹</t>
  </si>
  <si>
    <t>330011</t>
  </si>
  <si>
    <t>青-爆米花55g─甜</t>
  </si>
  <si>
    <t>55g*12入*20盒</t>
  </si>
  <si>
    <t>0.238213095</t>
  </si>
  <si>
    <t>330012</t>
  </si>
  <si>
    <t>青-爆米花55g─鹹</t>
  </si>
  <si>
    <t>340001</t>
  </si>
  <si>
    <t>綠晶粉絲600g（網冬粉）</t>
  </si>
  <si>
    <t>2.054737059</t>
  </si>
  <si>
    <t>8.7</t>
  </si>
  <si>
    <t>52.5</t>
  </si>
  <si>
    <t>40.3</t>
  </si>
  <si>
    <t>3年</t>
  </si>
  <si>
    <t>340002</t>
  </si>
  <si>
    <t>旺萊冬粉450g</t>
  </si>
  <si>
    <t>1.686820692</t>
  </si>
  <si>
    <t>51.2</t>
  </si>
  <si>
    <t>340003</t>
  </si>
  <si>
    <t>金牌冬粉3kg</t>
  </si>
  <si>
    <t>3kg*8入</t>
  </si>
  <si>
    <t>5.217706494</t>
  </si>
  <si>
    <t>26.3</t>
  </si>
  <si>
    <t>82</t>
  </si>
  <si>
    <t>39.6</t>
  </si>
  <si>
    <t>45.5</t>
  </si>
  <si>
    <t>340004</t>
  </si>
  <si>
    <t>(小)寬粉150g</t>
  </si>
  <si>
    <t>1.54</t>
  </si>
  <si>
    <t>340005</t>
  </si>
  <si>
    <t>(大)寬粉300g</t>
  </si>
  <si>
    <t>2.921886714</t>
  </si>
  <si>
    <t>50.7</t>
  </si>
  <si>
    <t>40.9</t>
  </si>
  <si>
    <t>39.9</t>
  </si>
  <si>
    <t>340015</t>
  </si>
  <si>
    <t>紅龍牌寬粉3kg</t>
  </si>
  <si>
    <t>6.0515784</t>
  </si>
  <si>
    <t>25.9</t>
  </si>
  <si>
    <t>51</t>
  </si>
  <si>
    <t>340285</t>
  </si>
  <si>
    <t>龍脈牌粉絲3KG-MIT</t>
  </si>
  <si>
    <t>340016</t>
  </si>
  <si>
    <t>南-旺萊冬粉450G</t>
  </si>
  <si>
    <t>450G*12入</t>
  </si>
  <si>
    <t>1.784659417</t>
  </si>
  <si>
    <t>340018</t>
  </si>
  <si>
    <t>紅龍牌3公斤冬粉</t>
  </si>
  <si>
    <t>4.92771384</t>
  </si>
  <si>
    <t>340083</t>
  </si>
  <si>
    <t>白御冬粉350g</t>
  </si>
  <si>
    <t>1.526632135</t>
  </si>
  <si>
    <t>31.1</t>
  </si>
  <si>
    <t>340084</t>
  </si>
  <si>
    <t>皇膳冬粉350g</t>
  </si>
  <si>
    <t>340109</t>
  </si>
  <si>
    <t>金之味3kg冬粉</t>
  </si>
  <si>
    <t>340110</t>
  </si>
  <si>
    <t>皇膳粉絲900g</t>
  </si>
  <si>
    <t>900g*12入</t>
  </si>
  <si>
    <t>3.999759243</t>
  </si>
  <si>
    <t>58</t>
  </si>
  <si>
    <t>340113</t>
  </si>
  <si>
    <t>日正粉絲150g</t>
  </si>
  <si>
    <t>1.115219448</t>
  </si>
  <si>
    <t>4.7</t>
  </si>
  <si>
    <t>340119</t>
  </si>
  <si>
    <t>日正綠晶粉絲110g(襯盒)</t>
  </si>
  <si>
    <t>110g*18入</t>
  </si>
  <si>
    <t>1.05</t>
  </si>
  <si>
    <t>340121</t>
  </si>
  <si>
    <t>白御粉絲3KG</t>
  </si>
  <si>
    <t>5.174957687</t>
  </si>
  <si>
    <t>26.1</t>
  </si>
  <si>
    <t>81</t>
  </si>
  <si>
    <t>45.8</t>
  </si>
  <si>
    <t>340122</t>
  </si>
  <si>
    <t>綠晶粉絲3kg</t>
  </si>
  <si>
    <t>74</t>
  </si>
  <si>
    <t>37.5</t>
  </si>
  <si>
    <t>340125</t>
  </si>
  <si>
    <t>金旺萊粉絲300G(8球)</t>
  </si>
  <si>
    <t>300G(8球)*24入</t>
  </si>
  <si>
    <t>2.9</t>
  </si>
  <si>
    <t>340126</t>
  </si>
  <si>
    <t>豚骨風味粉絲100g</t>
  </si>
  <si>
    <t>0.899790885</t>
  </si>
  <si>
    <t>340128</t>
  </si>
  <si>
    <t>100g*15入</t>
  </si>
  <si>
    <t>0.48897149</t>
  </si>
  <si>
    <t>340131</t>
  </si>
  <si>
    <t>日正粉絲40g-MIT-24入</t>
  </si>
  <si>
    <t>40g*24入</t>
  </si>
  <si>
    <t>0.3975</t>
  </si>
  <si>
    <t>14.3</t>
  </si>
  <si>
    <t>340133</t>
  </si>
  <si>
    <t>日正粉絲(散粉絲)3kg</t>
  </si>
  <si>
    <t>26.2</t>
  </si>
  <si>
    <t>340139</t>
  </si>
  <si>
    <t>粉身B(37g)18kg</t>
  </si>
  <si>
    <t>9kg*2入</t>
  </si>
  <si>
    <t>340151</t>
  </si>
  <si>
    <t>白御冬粉1200g</t>
  </si>
  <si>
    <t>1200g*8入</t>
  </si>
  <si>
    <t>2.313503308</t>
  </si>
  <si>
    <t>47.3</t>
  </si>
  <si>
    <t>340171</t>
  </si>
  <si>
    <t>南-旺萊粉絲350g</t>
  </si>
  <si>
    <t>1.449388624</t>
  </si>
  <si>
    <t>40.6</t>
  </si>
  <si>
    <t>32.4</t>
  </si>
  <si>
    <t>1095</t>
  </si>
  <si>
    <t>340172</t>
  </si>
  <si>
    <t>綠晶粉絲480g</t>
  </si>
  <si>
    <t>1.792913592</t>
  </si>
  <si>
    <t>25.2</t>
  </si>
  <si>
    <t>340173</t>
  </si>
  <si>
    <t>旺萊粉絲350g</t>
  </si>
  <si>
    <t>340174</t>
  </si>
  <si>
    <t>白御粉絲300g</t>
  </si>
  <si>
    <t>1.247322269</t>
  </si>
  <si>
    <t>30.8</t>
  </si>
  <si>
    <t>340175</t>
  </si>
  <si>
    <t>皇膳粉絲300g</t>
  </si>
  <si>
    <t>340176</t>
  </si>
  <si>
    <t>日正粉絲3kg(紅龍牌-MIT)</t>
  </si>
  <si>
    <t>340178</t>
  </si>
  <si>
    <t>家福細粉絲90g-MIT</t>
  </si>
  <si>
    <t>30g*3顆*18入</t>
  </si>
  <si>
    <t>0.711299474</t>
  </si>
  <si>
    <t>56.4</t>
  </si>
  <si>
    <t>340179</t>
  </si>
  <si>
    <t>家福細粉絲300g-MIT</t>
  </si>
  <si>
    <t>30g*10顆*24入</t>
  </si>
  <si>
    <t>2.369477724</t>
  </si>
  <si>
    <t>9.6</t>
  </si>
  <si>
    <t>51.4</t>
  </si>
  <si>
    <t>29.4</t>
  </si>
  <si>
    <t>44.4</t>
  </si>
  <si>
    <t>340181</t>
  </si>
  <si>
    <t>豐之穀-粉絲90g</t>
  </si>
  <si>
    <t>(30g*3顆)*48入</t>
  </si>
  <si>
    <t>1.536054813</t>
  </si>
  <si>
    <t>52.3</t>
  </si>
  <si>
    <t>24.9</t>
  </si>
  <si>
    <t>340182</t>
  </si>
  <si>
    <t>豐之穀-粉絲240g</t>
  </si>
  <si>
    <t>(40g*6顆)*24入</t>
  </si>
  <si>
    <t>1.552870615</t>
  </si>
  <si>
    <t>52.4</t>
  </si>
  <si>
    <t>340186</t>
  </si>
  <si>
    <t>日正寬粉40g-MIT-24入</t>
  </si>
  <si>
    <t>0.45</t>
  </si>
  <si>
    <t>44.7</t>
  </si>
  <si>
    <t>340187</t>
  </si>
  <si>
    <t>綠晶粉絲3kg-MIT</t>
  </si>
  <si>
    <t>3kG*8入</t>
  </si>
  <si>
    <t>5.19</t>
  </si>
  <si>
    <t>340189</t>
  </si>
  <si>
    <t>金之味粉絲條3kg-MIT</t>
  </si>
  <si>
    <t>340190</t>
  </si>
  <si>
    <t>粉絲(B45g)18kg-MIT</t>
  </si>
  <si>
    <t>6kg*3入</t>
  </si>
  <si>
    <t>3.98</t>
  </si>
  <si>
    <t>340193</t>
  </si>
  <si>
    <t>美食家特選粉絲2.7kg-MIT</t>
  </si>
  <si>
    <t>2.7kg*8入</t>
  </si>
  <si>
    <t>4.75</t>
  </si>
  <si>
    <t>73</t>
  </si>
  <si>
    <t>340215</t>
  </si>
  <si>
    <t>日正直粉絲3kg-MIT</t>
  </si>
  <si>
    <t>4.948955813</t>
  </si>
  <si>
    <t>340217</t>
  </si>
  <si>
    <t>哇哇輕粉絲200g</t>
  </si>
  <si>
    <t>1.96</t>
  </si>
  <si>
    <t>340218</t>
  </si>
  <si>
    <t>哇哇輕粉絲寬粉200g</t>
  </si>
  <si>
    <t>1.74</t>
  </si>
  <si>
    <t>34.5</t>
  </si>
  <si>
    <t>340219</t>
  </si>
  <si>
    <t>哇哇輕粉絲高纖寬粉200g</t>
  </si>
  <si>
    <t>340226</t>
  </si>
  <si>
    <t>旺萊粉絲350g-MIT</t>
  </si>
  <si>
    <t>1.42</t>
  </si>
  <si>
    <t>340232</t>
  </si>
  <si>
    <t>粉絲6kg(B30g)-MIT</t>
  </si>
  <si>
    <t>3.792875144</t>
  </si>
  <si>
    <t>340237</t>
  </si>
  <si>
    <t>青-有機粉絲300g-MIT</t>
  </si>
  <si>
    <t>240g(30g*8顆)*12入</t>
  </si>
  <si>
    <t>1.37</t>
  </si>
  <si>
    <t>42.5</t>
  </si>
  <si>
    <t>340238</t>
  </si>
  <si>
    <t>青-有機寬粉240g-MIT</t>
  </si>
  <si>
    <t>340242</t>
  </si>
  <si>
    <t>(小)寬粉絲150g-MIT</t>
  </si>
  <si>
    <t>1.61</t>
  </si>
  <si>
    <t>340245</t>
  </si>
  <si>
    <t>(圓餅)細粉絲40g-MIT</t>
  </si>
  <si>
    <t>40g*200入</t>
  </si>
  <si>
    <t>340251</t>
  </si>
  <si>
    <t>圓餅單顆寬粉絲B40g-MIT</t>
  </si>
  <si>
    <t>340252</t>
  </si>
  <si>
    <t>日正(圓餅)單顆細粉絲40g-MIT(印製袋)</t>
  </si>
  <si>
    <t>340253</t>
  </si>
  <si>
    <t>日正(圓餅)單顆寬粉絲40g-MIT(印製袋)</t>
  </si>
  <si>
    <t>340265</t>
  </si>
  <si>
    <t>白御粉絲3kg-MIT</t>
  </si>
  <si>
    <t>5.76</t>
  </si>
  <si>
    <t>340270</t>
  </si>
  <si>
    <t>三龍牌純粉絲3kg-MIT</t>
  </si>
  <si>
    <t>6.03</t>
  </si>
  <si>
    <t>79</t>
  </si>
  <si>
    <t>340271</t>
  </si>
  <si>
    <t>三龍牌粉絲3kg-MIT</t>
  </si>
  <si>
    <t>340272</t>
  </si>
  <si>
    <t>晶饌粉絲3kg-MIT</t>
  </si>
  <si>
    <t>49</t>
  </si>
  <si>
    <t>340274</t>
  </si>
  <si>
    <t>元昱寬粉絲3kg(B45g)-MIT</t>
  </si>
  <si>
    <t>340275</t>
  </si>
  <si>
    <t>華益粉絲6kg(B50g)-MIT</t>
  </si>
  <si>
    <t>340276</t>
  </si>
  <si>
    <t>日正寬粉3kg-MIT(紅龍牌)</t>
  </si>
  <si>
    <t>340277</t>
  </si>
  <si>
    <t>大統華龍口寬粉300g-MIT</t>
  </si>
  <si>
    <t>16.33</t>
  </si>
  <si>
    <t>340278</t>
  </si>
  <si>
    <t>福昇粉絲3kg-MIT</t>
  </si>
  <si>
    <t>340279</t>
  </si>
  <si>
    <t>津展粉絲3kg(B45g)-MIT</t>
  </si>
  <si>
    <t>340281</t>
  </si>
  <si>
    <t>傳統寬粉150g</t>
  </si>
  <si>
    <t>340284</t>
  </si>
  <si>
    <t>名牌粉絲3kg-MIT</t>
  </si>
  <si>
    <t>340287</t>
  </si>
  <si>
    <t>鷹牌粉絲3kg-MIT</t>
  </si>
  <si>
    <t>340288</t>
  </si>
  <si>
    <t>鷹牌大旺來粉絲3kg-MIT</t>
  </si>
  <si>
    <t>340293</t>
  </si>
  <si>
    <t>特A粉絲6KG</t>
  </si>
  <si>
    <t>340297</t>
  </si>
  <si>
    <t>金之贊寬粉3公斤-MIT</t>
  </si>
  <si>
    <t>3kg(600g*5包)*6入</t>
  </si>
  <si>
    <t>5.67</t>
  </si>
  <si>
    <t>340300</t>
  </si>
  <si>
    <t>龍主牌極品粉絲3kg-MIT</t>
  </si>
  <si>
    <t>340311</t>
  </si>
  <si>
    <t>1.437</t>
  </si>
  <si>
    <t>340316</t>
  </si>
  <si>
    <t>0.774</t>
  </si>
  <si>
    <t>3.8</t>
  </si>
  <si>
    <t>340317</t>
  </si>
  <si>
    <t>0.865</t>
  </si>
  <si>
    <t>3.9</t>
  </si>
  <si>
    <t>340318</t>
  </si>
  <si>
    <t>340331</t>
  </si>
  <si>
    <t>皇膳粉絲300g-MIT</t>
  </si>
  <si>
    <t>350011</t>
  </si>
  <si>
    <t>營養麵條200g</t>
  </si>
  <si>
    <t>0.297704037</t>
  </si>
  <si>
    <t>350034</t>
  </si>
  <si>
    <t>原味關廟麵480g</t>
  </si>
  <si>
    <t>1.590896606</t>
  </si>
  <si>
    <t>61.5</t>
  </si>
  <si>
    <t>350072</t>
  </si>
  <si>
    <t>天然蔬果關廟麵420g</t>
  </si>
  <si>
    <t>420g*12入</t>
  </si>
  <si>
    <t>1.0467366</t>
  </si>
  <si>
    <t>350080</t>
  </si>
  <si>
    <t>南-原味關廟麵480g</t>
  </si>
  <si>
    <t>1.587899422</t>
  </si>
  <si>
    <t>350081</t>
  </si>
  <si>
    <t>南-天然蔬果關廟麵420g</t>
  </si>
  <si>
    <t>1.34745442</t>
  </si>
  <si>
    <t>59</t>
  </si>
  <si>
    <t>22.3</t>
  </si>
  <si>
    <t>350108</t>
  </si>
  <si>
    <t>營養麵條1.8kg</t>
  </si>
  <si>
    <t>1800g*6入</t>
  </si>
  <si>
    <t>0.575842859</t>
  </si>
  <si>
    <t>350109</t>
  </si>
  <si>
    <t>和風拉麵1.8kg</t>
  </si>
  <si>
    <t>350122</t>
  </si>
  <si>
    <t>雞蛋麵1.8kg</t>
  </si>
  <si>
    <t>360002</t>
  </si>
  <si>
    <t>長壽麵線250g</t>
  </si>
  <si>
    <t>250g*24入</t>
  </si>
  <si>
    <t>0.545150592</t>
  </si>
  <si>
    <t>360003</t>
  </si>
  <si>
    <t>紅麵線(蚵仔麵線)250g</t>
  </si>
  <si>
    <t>0.53783403</t>
  </si>
  <si>
    <t>35.7</t>
  </si>
  <si>
    <t>360004</t>
  </si>
  <si>
    <t>手工生麵線200g(2束)</t>
  </si>
  <si>
    <t>0.508790268</t>
  </si>
  <si>
    <t>360005</t>
  </si>
  <si>
    <t>海鮮雞絲麵150g</t>
  </si>
  <si>
    <t>0.895613827</t>
  </si>
  <si>
    <t>360006</t>
  </si>
  <si>
    <t>冬菜雞絲麵150g</t>
  </si>
  <si>
    <t>360008</t>
  </si>
  <si>
    <t>(3入)長壽麵線750g</t>
  </si>
  <si>
    <t>(250g*3入)*8組</t>
  </si>
  <si>
    <t>0.592571574</t>
  </si>
  <si>
    <t>360021</t>
  </si>
  <si>
    <t>南-冬菜雞絲麵150g</t>
  </si>
  <si>
    <t>360022</t>
  </si>
  <si>
    <t>南-長壽麵線250g-軍</t>
  </si>
  <si>
    <t>0.540300289</t>
  </si>
  <si>
    <t>35.6</t>
  </si>
  <si>
    <t>360028</t>
  </si>
  <si>
    <t>古早風味麵線300g</t>
  </si>
  <si>
    <t>0.65</t>
  </si>
  <si>
    <t>16.8</t>
  </si>
  <si>
    <t>400014</t>
  </si>
  <si>
    <t>麥茶350g</t>
  </si>
  <si>
    <t>0.63630567</t>
  </si>
  <si>
    <t>18.2</t>
  </si>
  <si>
    <t>400035</t>
  </si>
  <si>
    <t>免濾麥茶50g*5入</t>
  </si>
  <si>
    <t>(50g*5入/袋)*12袋</t>
  </si>
  <si>
    <t>0.812093146</t>
  </si>
  <si>
    <t>400036</t>
  </si>
  <si>
    <t>黑糖老薑母茶(隨身包)20g</t>
  </si>
  <si>
    <t>400039</t>
  </si>
  <si>
    <t>金萱烏龍茶包(立體茶包)3g</t>
  </si>
  <si>
    <t>10入*24盒</t>
  </si>
  <si>
    <t>440003</t>
  </si>
  <si>
    <t>麻油辣腐乳130g</t>
  </si>
  <si>
    <t>130g*12入</t>
  </si>
  <si>
    <t>0.118144214</t>
  </si>
  <si>
    <t>3.4</t>
  </si>
  <si>
    <t>440004</t>
  </si>
  <si>
    <t>(大)五香辣腐乳460g</t>
  </si>
  <si>
    <t>460g*12入</t>
  </si>
  <si>
    <t>0.413273788</t>
  </si>
  <si>
    <t>15.1</t>
  </si>
  <si>
    <t>440005</t>
  </si>
  <si>
    <t>(小)五香辣腐乳130g</t>
  </si>
  <si>
    <t>0.116059216</t>
  </si>
  <si>
    <t>440006</t>
  </si>
  <si>
    <t>非基因改造辣腐乳130G</t>
  </si>
  <si>
    <t>130G*12入</t>
  </si>
  <si>
    <t>0.122431313</t>
  </si>
  <si>
    <t>470009</t>
  </si>
  <si>
    <t>素蛋花海帶芽80g</t>
  </si>
  <si>
    <t>80g*12入</t>
  </si>
  <si>
    <t>0.801240846</t>
  </si>
  <si>
    <t>1.95</t>
  </si>
  <si>
    <t>470010</t>
  </si>
  <si>
    <t>海鮮海帶芽80g</t>
  </si>
  <si>
    <t>470011</t>
  </si>
  <si>
    <t>素食海帶芽80g</t>
  </si>
  <si>
    <t>470015</t>
  </si>
  <si>
    <t>海帶芽50g-全新穀堡</t>
  </si>
  <si>
    <t>0.531026005</t>
  </si>
  <si>
    <t>1.1</t>
  </si>
  <si>
    <t>500003</t>
  </si>
  <si>
    <t>(大)高山野蜜750g</t>
  </si>
  <si>
    <t>750g*12入</t>
  </si>
  <si>
    <t>0.684570822</t>
  </si>
  <si>
    <t>14.6</t>
  </si>
  <si>
    <t>23.7</t>
  </si>
  <si>
    <t>500004</t>
  </si>
  <si>
    <t>(小)高山野蜜375g</t>
  </si>
  <si>
    <t>375g*12入</t>
  </si>
  <si>
    <t>0.471358134</t>
  </si>
  <si>
    <t>8.9</t>
  </si>
  <si>
    <t>500005</t>
  </si>
  <si>
    <t>(大)高山春蜜750g</t>
  </si>
  <si>
    <t>500006</t>
  </si>
  <si>
    <t>(小)高山春蜜375g</t>
  </si>
  <si>
    <t>500016</t>
  </si>
  <si>
    <t>野花蜜</t>
  </si>
  <si>
    <t>500033</t>
  </si>
  <si>
    <t>龍眼蜜(尖嘴瓶)500g</t>
  </si>
  <si>
    <t>0.938439621</t>
  </si>
  <si>
    <t>13.6</t>
  </si>
  <si>
    <t>500377</t>
  </si>
  <si>
    <t>龍眼蜜700g</t>
  </si>
  <si>
    <t>700g*12罐</t>
  </si>
  <si>
    <t>0.847740107</t>
  </si>
  <si>
    <t>500379</t>
  </si>
  <si>
    <t>果香蜂蜜700g</t>
  </si>
  <si>
    <t>500445</t>
  </si>
  <si>
    <t>龍眼蜜420g</t>
  </si>
  <si>
    <t>420g*12罐</t>
  </si>
  <si>
    <t>0.541511381</t>
  </si>
  <si>
    <t>500446</t>
  </si>
  <si>
    <t>野花蜜700g</t>
  </si>
  <si>
    <t>700g*12入</t>
  </si>
  <si>
    <t>11底</t>
  </si>
  <si>
    <t>0.751001727</t>
  </si>
  <si>
    <t>500456</t>
  </si>
  <si>
    <t>RT-龍眼蜜700g</t>
  </si>
  <si>
    <t>17底</t>
  </si>
  <si>
    <t>0.85751883</t>
  </si>
  <si>
    <t>14.4</t>
  </si>
  <si>
    <t>500457</t>
  </si>
  <si>
    <t>RT-龍眼蜜420g</t>
  </si>
  <si>
    <t>0.509529234</t>
  </si>
  <si>
    <t>540048</t>
  </si>
  <si>
    <t>海霸王素食沙茶醬360g</t>
  </si>
  <si>
    <t>360g*12入</t>
  </si>
  <si>
    <t>540050</t>
  </si>
  <si>
    <t>海霸王黑胡椒醬220g</t>
  </si>
  <si>
    <t>220g*12入</t>
  </si>
  <si>
    <t>0.225503933</t>
  </si>
  <si>
    <t>560002</t>
  </si>
  <si>
    <t>決明子400g</t>
  </si>
  <si>
    <t>0.350929569</t>
  </si>
  <si>
    <t>570002</t>
  </si>
  <si>
    <t>黑芝麻150g</t>
  </si>
  <si>
    <t>570006</t>
  </si>
  <si>
    <t>青-黑豆550g</t>
  </si>
  <si>
    <t>570020</t>
  </si>
  <si>
    <t>青仁黑豆300G</t>
  </si>
  <si>
    <t>300G*12入</t>
  </si>
  <si>
    <t>0.265646917</t>
  </si>
  <si>
    <t>570022</t>
  </si>
  <si>
    <t>有機青仁黑豆500g-青的</t>
  </si>
  <si>
    <t>570024</t>
  </si>
  <si>
    <t>有機燕麥仁500g-青的</t>
  </si>
  <si>
    <t>570035</t>
  </si>
  <si>
    <t>青-養生大燕麥1.5kg</t>
  </si>
  <si>
    <t>1.048266446</t>
  </si>
  <si>
    <t>570042</t>
  </si>
  <si>
    <t>青-蕎麥600g</t>
  </si>
  <si>
    <t>0.44782563</t>
  </si>
  <si>
    <t>570052</t>
  </si>
  <si>
    <t>大穀倉-青仁黑豆550g-臥式</t>
  </si>
  <si>
    <t>550g*24入</t>
  </si>
  <si>
    <t>570065</t>
  </si>
  <si>
    <t>青-青仁黑豆(省產)550g</t>
  </si>
  <si>
    <t>570066</t>
  </si>
  <si>
    <t>青-黃仁黑豆(省產)550g</t>
  </si>
  <si>
    <t>570067</t>
  </si>
  <si>
    <t>有機黑豆400g-全新穀堡</t>
  </si>
  <si>
    <t>570070</t>
  </si>
  <si>
    <t>台灣黑豆350g</t>
  </si>
  <si>
    <t>0.30905</t>
  </si>
  <si>
    <t>570071</t>
  </si>
  <si>
    <t>黑芝麻120g</t>
  </si>
  <si>
    <t>580001</t>
  </si>
  <si>
    <t>(彩色)新竹米粉300g</t>
  </si>
  <si>
    <t>3.430008222</t>
  </si>
  <si>
    <t>11.4</t>
  </si>
  <si>
    <t>52.7</t>
  </si>
  <si>
    <t>48.5</t>
  </si>
  <si>
    <t>580004</t>
  </si>
  <si>
    <t>(透明)金鳳梨新竹炊粉300g</t>
  </si>
  <si>
    <t>300g*30入</t>
  </si>
  <si>
    <t>3.153431736</t>
  </si>
  <si>
    <t>47.7</t>
  </si>
  <si>
    <t>580005</t>
  </si>
  <si>
    <t>金旺萊炊粉220g</t>
  </si>
  <si>
    <t>220g*40入</t>
  </si>
  <si>
    <t>3.75878734</t>
  </si>
  <si>
    <t>580006</t>
  </si>
  <si>
    <t>3公斤炊粉-片狀</t>
  </si>
  <si>
    <t>4.737584943</t>
  </si>
  <si>
    <t>67.6</t>
  </si>
  <si>
    <t>580007</t>
  </si>
  <si>
    <t>(粒)新竹米粉3K-粒狀</t>
  </si>
  <si>
    <t>580008</t>
  </si>
  <si>
    <t>(3入)金鳳梨新竹炊粉300g</t>
  </si>
  <si>
    <t>(300g*3)*10組</t>
  </si>
  <si>
    <t>3.281624127</t>
  </si>
  <si>
    <t>53</t>
  </si>
  <si>
    <t>580017</t>
  </si>
  <si>
    <t>(3入)金鳳梨新竹炊粉210g</t>
  </si>
  <si>
    <t>(210g*3入)*12組</t>
  </si>
  <si>
    <t>3.692903676</t>
  </si>
  <si>
    <t>580023</t>
  </si>
  <si>
    <t>台灣麵攤新竹調合米粉260g</t>
  </si>
  <si>
    <t>260g*30入</t>
  </si>
  <si>
    <t>580025</t>
  </si>
  <si>
    <t>260g*15入</t>
  </si>
  <si>
    <t>0.885160763</t>
  </si>
  <si>
    <t>51.8</t>
  </si>
  <si>
    <t>580028</t>
  </si>
  <si>
    <t>300g*15入</t>
  </si>
  <si>
    <t>580031</t>
  </si>
  <si>
    <t>無麩質炊粉210g</t>
  </si>
  <si>
    <t>210g*36入</t>
  </si>
  <si>
    <t>3.57</t>
  </si>
  <si>
    <t>580034</t>
  </si>
  <si>
    <t>福樂-新Q炊粉 220g</t>
  </si>
  <si>
    <t>220g*20入</t>
  </si>
  <si>
    <t>1.64</t>
  </si>
  <si>
    <t>580035</t>
  </si>
  <si>
    <t>福樂-新竹炊粉 350g</t>
  </si>
  <si>
    <t>350g*20入</t>
  </si>
  <si>
    <t>2.21</t>
  </si>
  <si>
    <t>580036</t>
  </si>
  <si>
    <t>福樂-新Q炊粉 220g (新)</t>
  </si>
  <si>
    <t>1.075</t>
  </si>
  <si>
    <t>580037</t>
  </si>
  <si>
    <t>福樂-新竹炊粉 350g(新)</t>
  </si>
  <si>
    <t>1.51</t>
  </si>
  <si>
    <t>580038</t>
  </si>
  <si>
    <t>福樂-圓粒炊粉 320g(40g*8顆)</t>
  </si>
  <si>
    <t>320g*12入</t>
  </si>
  <si>
    <t>1.156</t>
  </si>
  <si>
    <t>680005</t>
  </si>
  <si>
    <t>清燉牛肉寬粉680g</t>
  </si>
  <si>
    <t>680g*12入</t>
  </si>
  <si>
    <t>1.32</t>
  </si>
  <si>
    <t>680006</t>
  </si>
  <si>
    <t>紅燒牛肉細粉680g</t>
  </si>
  <si>
    <t>680007</t>
  </si>
  <si>
    <t>麻辣鴨血寬粉560g</t>
  </si>
  <si>
    <t>560g*12入</t>
  </si>
  <si>
    <t>1.06</t>
  </si>
  <si>
    <t>680008</t>
  </si>
  <si>
    <t>麻辣豆腐寬粉680g</t>
  </si>
  <si>
    <t>680009</t>
  </si>
  <si>
    <t>泰式酸辣寬粉85g*3入</t>
  </si>
  <si>
    <t>(85g*3入)*12入</t>
  </si>
  <si>
    <t>3.87</t>
  </si>
  <si>
    <t>680010</t>
  </si>
  <si>
    <t>香辣蟹粉絲80g*3入</t>
  </si>
  <si>
    <t>(80g*3入)*12入</t>
  </si>
  <si>
    <t>680011</t>
  </si>
  <si>
    <t>香椿芝麻寬粉105g</t>
  </si>
  <si>
    <t>(105g*3入)*12入</t>
  </si>
  <si>
    <t>4.59</t>
  </si>
  <si>
    <t>680012</t>
  </si>
  <si>
    <t>花椒芝麻寬粉105g</t>
  </si>
  <si>
    <t>680014</t>
  </si>
  <si>
    <t>叻沙寬粉絲90g*3入</t>
  </si>
  <si>
    <t>(90g*3入)*12入</t>
  </si>
  <si>
    <t>1.01</t>
  </si>
  <si>
    <t>6.81</t>
  </si>
  <si>
    <t>680015</t>
  </si>
  <si>
    <t>清燉牛肉寬粉340g</t>
  </si>
  <si>
    <t>340g*12入</t>
  </si>
  <si>
    <t>0.89</t>
  </si>
  <si>
    <t>4.58</t>
  </si>
  <si>
    <t>21.3</t>
  </si>
  <si>
    <t>680016</t>
  </si>
  <si>
    <t>紅燒牛肉細粉340g</t>
  </si>
  <si>
    <t>340g*13入</t>
  </si>
  <si>
    <t>680017</t>
  </si>
  <si>
    <t>麻辣豆腐寬粉340g</t>
  </si>
  <si>
    <t>340g*14入</t>
  </si>
  <si>
    <t>680018</t>
  </si>
  <si>
    <t>油潑辣子寬粉75g*3入</t>
  </si>
  <si>
    <t>(75g*3入)*12入</t>
  </si>
  <si>
    <t>1.08</t>
  </si>
  <si>
    <t>680021</t>
  </si>
  <si>
    <t>川味酸辣粉95g*3入</t>
  </si>
  <si>
    <t>(95g*3入)*12入</t>
  </si>
  <si>
    <t>680027</t>
  </si>
  <si>
    <t>鹹蛋黃粉絲76g*3入</t>
  </si>
  <si>
    <t>(76g*3入)*12入</t>
  </si>
  <si>
    <t>1.03</t>
  </si>
  <si>
    <t>680035</t>
  </si>
  <si>
    <t>辣炒蟹粉絲320G</t>
  </si>
  <si>
    <t>320G*12入</t>
  </si>
  <si>
    <t>0.954</t>
  </si>
  <si>
    <t>3.56</t>
  </si>
  <si>
    <t>680036</t>
  </si>
  <si>
    <t>川味酸辣粉絲 380g</t>
  </si>
  <si>
    <t>380g*12入</t>
  </si>
  <si>
    <t>4.25</t>
  </si>
  <si>
    <t>AA0004</t>
  </si>
  <si>
    <t>黑糖</t>
  </si>
  <si>
    <t>包*30KG</t>
  </si>
  <si>
    <t>AB0004</t>
  </si>
  <si>
    <t>木薯粉</t>
  </si>
  <si>
    <t>包*20KG</t>
  </si>
  <si>
    <t>AB0044</t>
  </si>
  <si>
    <t>糙米粉</t>
  </si>
  <si>
    <t>AB0005</t>
  </si>
  <si>
    <t>太白粉</t>
  </si>
  <si>
    <t>包*20kg</t>
  </si>
  <si>
    <t>AB0006</t>
  </si>
  <si>
    <t>日本粉(馬鈴薯澱粉)</t>
  </si>
  <si>
    <t>包/25KG</t>
  </si>
  <si>
    <t>AB0007</t>
  </si>
  <si>
    <t>玉米澱粉</t>
  </si>
  <si>
    <t>AB0009</t>
  </si>
  <si>
    <t>糯米粉</t>
  </si>
  <si>
    <t>AB0325</t>
  </si>
  <si>
    <t>純糯米粉</t>
  </si>
  <si>
    <t>AB0010</t>
  </si>
  <si>
    <t>再來調合粉</t>
  </si>
  <si>
    <t>AB0277</t>
  </si>
  <si>
    <t>地瓜粉-B級</t>
  </si>
  <si>
    <t>20KG</t>
  </si>
  <si>
    <t>AB0584</t>
  </si>
  <si>
    <t>小蘇打粉--美國</t>
  </si>
  <si>
    <t>AB0691</t>
  </si>
  <si>
    <t>馬鈴薯澱粉</t>
  </si>
  <si>
    <t>AB0613</t>
  </si>
  <si>
    <t>玉米澱粉-非基改</t>
  </si>
  <si>
    <t>AC0008</t>
  </si>
  <si>
    <t>薏仁</t>
  </si>
  <si>
    <t>AC0017</t>
  </si>
  <si>
    <t>西谷米</t>
  </si>
  <si>
    <t>AM0004</t>
  </si>
  <si>
    <t>油蔥酥</t>
  </si>
  <si>
    <t>BG0017</t>
  </si>
  <si>
    <t>日正新竹米粉(彩色)</t>
  </si>
  <si>
    <t>300gX30</t>
  </si>
  <si>
    <t>3.404145281</t>
  </si>
  <si>
    <t>AB0505</t>
  </si>
  <si>
    <t>泡打粉(無鋁)</t>
  </si>
  <si>
    <t>130101</t>
  </si>
  <si>
    <t>海鮮綜合煎粉240g</t>
  </si>
  <si>
    <t>240g*12入</t>
  </si>
  <si>
    <t>050036</t>
  </si>
  <si>
    <t>雪晶冰糖粉17.5kg</t>
  </si>
  <si>
    <t>包*17.5KG</t>
  </si>
  <si>
    <t>300153</t>
  </si>
  <si>
    <t>日正燕麥20KG</t>
  </si>
  <si>
    <t>340198</t>
  </si>
  <si>
    <t>日正粉絲150g-MIT</t>
  </si>
  <si>
    <t>54</t>
  </si>
  <si>
    <t>110002</t>
  </si>
  <si>
    <t>寶島地瓜粉400g</t>
  </si>
  <si>
    <t>0.435900108</t>
  </si>
  <si>
    <t>產品主檔：雲端同步成功 (共 551 筆)</t>
    <phoneticPr fontId="1" type="noConversion"/>
  </si>
  <si>
    <t>C:\Users\User\Downloads\hung\棧板\20260613\宜蘭所0611-T7031.xlsx</t>
  </si>
  <si>
    <t>訂單檔案：宜蘭所0611-T7031.xlsx</t>
  </si>
  <si>
    <t>訂單數量總計：</t>
  </si>
  <si>
    <t>出貨廠商：</t>
  </si>
  <si>
    <t>宜蘭所</t>
  </si>
  <si>
    <t>出貨日期：</t>
  </si>
  <si>
    <t>0611</t>
  </si>
  <si>
    <t>工作表1</t>
  </si>
  <si>
    <t>宜蘭所0611-T7031.xlsx</t>
    <phoneticPr fontId="1" type="noConversion"/>
  </si>
  <si>
    <t>流水號</t>
  </si>
  <si>
    <t>原始項次</t>
  </si>
  <si>
    <t>原始訂單數量</t>
  </si>
  <si>
    <t>出貨單位</t>
  </si>
  <si>
    <t>出貨數量</t>
  </si>
  <si>
    <t>等效箱數</t>
  </si>
  <si>
    <t>總材積</t>
  </si>
  <si>
    <t>總毛重</t>
  </si>
  <si>
    <t>狀態</t>
  </si>
  <si>
    <t>單位重量</t>
  </si>
  <si>
    <t>單位材積</t>
  </si>
  <si>
    <t>每箱數量</t>
  </si>
  <si>
    <t>原始單位</t>
  </si>
  <si>
    <t>效期</t>
  </si>
  <si>
    <t>總數量</t>
  </si>
  <si>
    <t>轉換比例</t>
  </si>
  <si>
    <t>撿貨數量</t>
  </si>
  <si>
    <t>件數</t>
  </si>
  <si>
    <t>國際條碼</t>
  </si>
  <si>
    <t>001</t>
  </si>
  <si>
    <t>箱</t>
  </si>
  <si>
    <t>OK</t>
  </si>
  <si>
    <t>包</t>
  </si>
  <si>
    <t>4箱</t>
  </si>
  <si>
    <t>4710943120524</t>
  </si>
  <si>
    <t>002</t>
  </si>
  <si>
    <t>6箱</t>
  </si>
  <si>
    <t>4710943300483</t>
  </si>
  <si>
    <t>003</t>
  </si>
  <si>
    <t>12箱</t>
  </si>
  <si>
    <t>4710943100076</t>
  </si>
  <si>
    <t>004</t>
  </si>
  <si>
    <t>4710943100090</t>
  </si>
  <si>
    <t>005</t>
  </si>
  <si>
    <t>4710943190749</t>
  </si>
  <si>
    <t>006</t>
  </si>
  <si>
    <t>4710943101394</t>
  </si>
  <si>
    <t>007</t>
  </si>
  <si>
    <t>1箱</t>
  </si>
  <si>
    <t>4710943243001</t>
  </si>
  <si>
    <t>008</t>
  </si>
  <si>
    <t>16箱</t>
  </si>
  <si>
    <t>4710943109529</t>
  </si>
  <si>
    <t>009</t>
  </si>
  <si>
    <t>15箱</t>
  </si>
  <si>
    <t>4710943101165</t>
  </si>
  <si>
    <t>010</t>
  </si>
  <si>
    <t>盒</t>
  </si>
  <si>
    <t>2箱</t>
  </si>
  <si>
    <t>4710943130936</t>
  </si>
  <si>
    <t>011</t>
  </si>
  <si>
    <t>3箱</t>
  </si>
  <si>
    <t>4710943220057</t>
  </si>
  <si>
    <t>012</t>
  </si>
  <si>
    <t>罐</t>
  </si>
  <si>
    <t>4710943503778</t>
  </si>
  <si>
    <t>013</t>
  </si>
  <si>
    <t>4710943160070</t>
  </si>
  <si>
    <t>014</t>
  </si>
  <si>
    <t>4710943190558</t>
  </si>
  <si>
    <t>015</t>
  </si>
  <si>
    <t>24箱</t>
  </si>
  <si>
    <t>4710943100847</t>
  </si>
  <si>
    <t>016</t>
  </si>
  <si>
    <t>70箱</t>
  </si>
  <si>
    <t>4710943101318</t>
  </si>
  <si>
    <t>017</t>
  </si>
  <si>
    <t>48箱</t>
  </si>
  <si>
    <t>4710943109383</t>
  </si>
  <si>
    <t>018</t>
  </si>
  <si>
    <t>10箱</t>
  </si>
  <si>
    <t>4710943321488</t>
  </si>
  <si>
    <t>No.</t>
  </si>
  <si>
    <t>項次</t>
  </si>
  <si>
    <t>訂單數量</t>
  </si>
  <si>
    <t>庫存數量</t>
  </si>
  <si>
    <t>換算比例</t>
  </si>
  <si>
    <t>備註</t>
  </si>
  <si>
    <t>訂單分板資料已建立OrderBase-1。</t>
  </si>
  <si>
    <t>棧板編號</t>
  </si>
  <si>
    <t>單位</t>
  </si>
  <si>
    <t>本列材積</t>
  </si>
  <si>
    <t>本列重量</t>
  </si>
  <si>
    <t>單箱重量</t>
  </si>
  <si>
    <t>單箱材積</t>
  </si>
  <si>
    <t>備註1</t>
  </si>
  <si>
    <t>排序</t>
  </si>
  <si>
    <t>訂單單位</t>
  </si>
  <si>
    <t>整板數量</t>
  </si>
  <si>
    <t>項數</t>
  </si>
  <si>
    <t>總重量</t>
  </si>
  <si>
    <t>容積比</t>
  </si>
  <si>
    <t>整板</t>
  </si>
  <si>
    <t>-豐之穀</t>
  </si>
  <si>
    <t>-劉師傅</t>
  </si>
  <si>
    <t>-青</t>
  </si>
  <si>
    <t>-鑫</t>
  </si>
  <si>
    <t>散貨混板</t>
  </si>
  <si>
    <t>預備板</t>
  </si>
  <si>
    <t>系列名稱</t>
  </si>
  <si>
    <t>建議板數</t>
  </si>
  <si>
    <t>鑫</t>
  </si>
  <si>
    <t>劉師傅</t>
  </si>
  <si>
    <t>青</t>
  </si>
  <si>
    <t>豐之穀</t>
  </si>
  <si>
    <t>散貨/非系列</t>
  </si>
  <si>
    <t>棧板詳細資料已建立 PalletPickList。</t>
  </si>
  <si>
    <t>棧板號</t>
  </si>
  <si>
    <t>利用率</t>
  </si>
  <si>
    <t>總件數</t>
  </si>
  <si>
    <t>檢貨數量文字</t>
  </si>
  <si>
    <t>訂單數量文字</t>
  </si>
  <si>
    <t>重_箱</t>
  </si>
  <si>
    <t>拆分純數字數量</t>
  </si>
  <si>
    <t>出貨廠商</t>
  </si>
  <si>
    <t>出貨日期</t>
  </si>
  <si>
    <t>商品條碼</t>
  </si>
  <si>
    <t>外箱條碼</t>
  </si>
  <si>
    <t>出貨產品標籤</t>
  </si>
  <si>
    <t>列印日期: 2026/06/13 14:15</t>
  </si>
  <si>
    <t>版本:20260522</t>
  </si>
  <si>
    <t xml:space="preserve">訂單總計：6 板 ， 總重量 1,886.6 kg ， 總材積 339.6 才 。 </t>
  </si>
  <si>
    <t>棧板 #1   重量：328.0kg   材積：75.8才 (137.8%)</t>
  </si>
  <si>
    <t>重/箱</t>
  </si>
  <si>
    <t>R</t>
    <phoneticPr fontId="1" type="noConversion"/>
  </si>
  <si>
    <t>棧板 #1</t>
  </si>
  <si>
    <t>96包</t>
  </si>
  <si>
    <t>2026/06/11</t>
  </si>
  <si>
    <t>14710943109526</t>
  </si>
  <si>
    <t>◻</t>
  </si>
  <si>
    <t xml:space="preserve">   共 16 件</t>
  </si>
  <si>
    <t>棧板 #2   重量：231.0kg   材積：62.8才 (114.1%)</t>
  </si>
  <si>
    <t>棧板 #2</t>
  </si>
  <si>
    <t>420包</t>
  </si>
  <si>
    <t>14710943101315</t>
  </si>
  <si>
    <t xml:space="preserve">   共 70 件</t>
  </si>
  <si>
    <t>棧板 #3   重量：231.0kg   材積：62.8才 (114.1%)</t>
  </si>
  <si>
    <t>棧板 #3</t>
  </si>
  <si>
    <t>棧板 #4   重量：206.4kg   材積：68.2才 (123.9%)</t>
  </si>
  <si>
    <t>棧板 #4</t>
  </si>
  <si>
    <t>576包</t>
  </si>
  <si>
    <t>14710943109380</t>
  </si>
  <si>
    <t xml:space="preserve">   共 48 件</t>
  </si>
  <si>
    <t>棧板 #5   重量：444.7kg   材積：37.2才 (67.6%)</t>
  </si>
  <si>
    <t>R</t>
    <phoneticPr fontId="1" type="noConversion"/>
  </si>
  <si>
    <t>棧板 #5</t>
  </si>
  <si>
    <t>48包</t>
  </si>
  <si>
    <t>14710943120521</t>
  </si>
  <si>
    <t>72包</t>
  </si>
  <si>
    <t>14710943190555</t>
  </si>
  <si>
    <t>24包</t>
  </si>
  <si>
    <t>14710943243008</t>
  </si>
  <si>
    <t>288包</t>
  </si>
  <si>
    <t>14710943100073</t>
  </si>
  <si>
    <t>14710943100844</t>
  </si>
  <si>
    <t>24盒</t>
  </si>
  <si>
    <t>14710943130933</t>
  </si>
  <si>
    <t>180包</t>
  </si>
  <si>
    <t>14710943101162</t>
  </si>
  <si>
    <t xml:space="preserve">   共 64 件</t>
  </si>
  <si>
    <t>棧板 #6   重量：445.5kg   材積：32.9才 (59.9%)</t>
  </si>
  <si>
    <t>棧板 #6</t>
  </si>
  <si>
    <t>14710943300480</t>
  </si>
  <si>
    <t>12罐</t>
  </si>
  <si>
    <t>14710943503775</t>
  </si>
  <si>
    <t>480包</t>
  </si>
  <si>
    <t>24710943321482</t>
  </si>
  <si>
    <t>60包</t>
  </si>
  <si>
    <t>14710943160077</t>
  </si>
  <si>
    <t>144包</t>
  </si>
  <si>
    <t>14710943100097</t>
  </si>
  <si>
    <t>14710943190746</t>
  </si>
  <si>
    <t>14710943101391</t>
  </si>
  <si>
    <t>864包</t>
  </si>
  <si>
    <t>24710943220051</t>
  </si>
  <si>
    <t xml:space="preserve">   共 44 件</t>
  </si>
  <si>
    <t>棧板PDF分頁與上傳中繼表已同步建立。</t>
  </si>
  <si>
    <t>棧板出貨總量：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</si>
</sst>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 "/>
    <numFmt numFmtId="177" formatCode="0.0"/>
    <numFmt numFmtId="178" formatCode="0.000"/>
    <numFmt numFmtId="179" formatCode="0.0%"/>
    <numFmt numFmtId="180" formatCode="yyyy/mm/dd"/>
  </numFmts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4"/>
      <color rgb="FF00800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u/>
      <sz val="20"/>
      <color theme="1"/>
      <name val="新細明體"/>
      <family val="1"/>
      <charset val="136"/>
      <scheme val="minor"/>
    </font>
    <font>
      <b/>
      <sz val="15"/>
      <color rgb="FFFF0000"/>
      <name val="新細明體"/>
      <family val="1"/>
      <charset val="136"/>
      <scheme val="minor"/>
    </font>
    <font>
      <b/>
      <sz val="18"/>
      <color rgb="FFFF0000"/>
      <name val="新細明體"/>
      <family val="1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24"/>
      <color theme="1"/>
      <name val="Wingdings 2"/>
      <family val="1"/>
      <charset val="2"/>
    </font>
    <font>
      <b/>
      <sz val="14"/>
      <color theme="1"/>
      <name val="新細明體"/>
      <family val="1"/>
      <charset val="136"/>
      <scheme val="minor"/>
    </font>
    <font>
      <b/>
      <sz val="34"/>
      <color theme="1"/>
      <name val="Segoe UI Symbol"/>
      <family val="2"/>
    </font>
    <font>
      <b/>
      <sz val="15"/>
      <color rgb="FF000000"/>
      <name val="新細明體"/>
      <family val="1"/>
      <charset val="136"/>
      <scheme val="minor"/>
    </font>
    <font>
      <b/>
      <sz val="18"/>
      <color rgb="FF000000"/>
      <name val="新細明體"/>
      <family val="1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  <fill>
      <patternFill patternType="solid">
        <fgColor rgb="FFE6F5E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>
      <alignment vertical="center"/>
    </xf>
  </cellStyleXfs>
  <cellXfs count="119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24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0" fillId="0" borderId="0" xfId="0" applyFont="1">
      <alignment vertical="center"/>
    </xf>
    <xf numFmtId="0" fontId="20" fillId="7" borderId="0" xfId="0" applyFont="1" applyFill="1">
      <alignment vertical="center"/>
    </xf>
    <xf numFmtId="1" fontId="20" fillId="7" borderId="0" xfId="0" applyNumberFormat="1" applyFont="1" applyFill="1">
      <alignment vertical="center"/>
    </xf>
    <xf numFmtId="1" fontId="0" fillId="0" borderId="0" xfId="0" applyNumberFormat="1">
      <alignment vertical="center"/>
    </xf>
    <xf numFmtId="2" fontId="20" fillId="7" borderId="0" xfId="0" applyNumberFormat="1" applyFont="1" applyFill="1">
      <alignment vertical="center"/>
    </xf>
    <xf numFmtId="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  <xf numFmtId="2" fontId="0" fillId="8" borderId="0" xfId="0" applyNumberFormat="1" applyFill="1">
      <alignment vertical="center"/>
    </xf>
    <xf numFmtId="0" fontId="20" fillId="0" borderId="1" xfId="0" applyFont="1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25" fillId="10" borderId="1" xfId="0" applyFont="1" applyFill="1" applyBorder="1">
      <alignment vertical="center"/>
    </xf>
    <xf numFmtId="177" fontId="25" fillId="10" borderId="1" xfId="0" applyNumberFormat="1" applyFont="1" applyFill="1" applyBorder="1">
      <alignment vertical="center"/>
    </xf>
    <xf numFmtId="179" fontId="25" fillId="10" borderId="1" xfId="0" applyNumberFormat="1" applyFont="1" applyFill="1" applyBorder="1">
      <alignment vertical="center"/>
    </xf>
    <xf numFmtId="177" fontId="20" fillId="0" borderId="1" xfId="0" applyNumberFormat="1" applyFont="1" applyBorder="1">
      <alignment vertical="center"/>
    </xf>
    <xf numFmtId="0" fontId="20" fillId="9" borderId="7" xfId="0" applyFont="1" applyFill="1" applyBorder="1" applyAlignment="1">
      <alignment horizontal="center" vertical="center"/>
    </xf>
    <xf numFmtId="177" fontId="0" fillId="8" borderId="0" xfId="0" applyNumberFormat="1" applyFill="1">
      <alignment vertical="center"/>
    </xf>
    <xf numFmtId="1" fontId="0" fillId="8" borderId="0" xfId="0" applyNumberFormat="1" applyFill="1">
      <alignment vertical="center"/>
    </xf>
    <xf numFmtId="0" fontId="20" fillId="0" borderId="0" xfId="0" applyFon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27" fillId="11" borderId="11" xfId="0" applyFont="1" applyFill="1" applyBorder="1" applyAlignment="1">
      <alignment horizontal="left" vertical="center" indent="1"/>
    </xf>
    <xf numFmtId="0" fontId="27" fillId="11" borderId="9" xfId="0" applyFont="1" applyFill="1" applyBorder="1" applyAlignment="1">
      <alignment horizontal="left" vertical="center" indent="1"/>
    </xf>
    <xf numFmtId="0" fontId="28" fillId="11" borderId="9" xfId="0" applyFont="1" applyFill="1" applyBorder="1" applyAlignment="1">
      <alignment horizontal="left" vertical="center"/>
    </xf>
    <xf numFmtId="0" fontId="28" fillId="11" borderId="12" xfId="0" applyFont="1" applyFill="1" applyBorder="1" applyAlignment="1">
      <alignment horizontal="left" vertical="center"/>
    </xf>
    <xf numFmtId="0" fontId="29" fillId="12" borderId="1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31" fillId="0" borderId="13" xfId="0" applyFont="1" applyFill="1" applyBorder="1" applyAlignment="1">
      <alignment horizontal="center" vertical="center"/>
    </xf>
    <xf numFmtId="49" fontId="31" fillId="0" borderId="13" xfId="0" applyNumberFormat="1" applyFont="1" applyFill="1" applyBorder="1" applyAlignment="1">
      <alignment horizontal="center" vertical="center"/>
    </xf>
    <xf numFmtId="0" fontId="29" fillId="12" borderId="14" xfId="0" applyFont="1" applyFill="1" applyBorder="1" applyAlignment="1">
      <alignment horizontal="center" vertical="center"/>
    </xf>
    <xf numFmtId="180" fontId="31" fillId="0" borderId="13" xfId="0" applyNumberFormat="1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  <xf numFmtId="0" fontId="31" fillId="0" borderId="8" xfId="0" applyFont="1" applyFill="1" applyBorder="1" applyAlignment="1">
      <alignment horizontal="center" vertical="center"/>
    </xf>
    <xf numFmtId="49" fontId="31" fillId="0" borderId="8" xfId="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180" fontId="31" fillId="0" borderId="8" xfId="0" applyNumberFormat="1" applyFont="1" applyFill="1" applyBorder="1" applyAlignment="1">
      <alignment horizontal="center" vertical="center"/>
    </xf>
    <xf numFmtId="0" fontId="32" fillId="0" borderId="8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33" fillId="11" borderId="16" xfId="0" applyFont="1" applyFill="1" applyBorder="1" applyAlignment="1">
      <alignment horizontal="left" vertical="center" indent="1"/>
    </xf>
    <xf numFmtId="0" fontId="33" fillId="11" borderId="13" xfId="0" applyFont="1" applyFill="1" applyBorder="1" applyAlignment="1">
      <alignment horizontal="left" vertical="center" indent="1"/>
    </xf>
    <xf numFmtId="0" fontId="34" fillId="11" borderId="13" xfId="0" applyFont="1" applyFill="1" applyBorder="1" applyAlignment="1">
      <alignment horizontal="left" vertical="center"/>
    </xf>
    <xf numFmtId="0" fontId="34" fillId="11" borderId="17" xfId="0" applyFont="1" applyFill="1" applyBorder="1" applyAlignment="1">
      <alignment horizontal="left" vertical="center"/>
    </xf>
    <xf numFmtId="0" fontId="31" fillId="13" borderId="18" xfId="0" applyFont="1" applyFill="1" applyBorder="1" applyAlignment="1">
      <alignment horizontal="center" vertical="center"/>
    </xf>
    <xf numFmtId="49" fontId="31" fillId="13" borderId="18" xfId="0" applyNumberFormat="1" applyFont="1" applyFill="1" applyBorder="1" applyAlignment="1">
      <alignment horizontal="center" vertical="center"/>
    </xf>
    <xf numFmtId="180" fontId="31" fillId="13" borderId="18" xfId="0" applyNumberFormat="1" applyFont="1" applyFill="1" applyBorder="1" applyAlignment="1">
      <alignment horizontal="center" vertical="center"/>
    </xf>
    <xf numFmtId="0" fontId="32" fillId="13" borderId="18" xfId="0" applyFont="1" applyFill="1" applyBorder="1" applyAlignment="1">
      <alignment horizontal="center" vertical="center"/>
    </xf>
    <xf numFmtId="0" fontId="31" fillId="0" borderId="18" xfId="0" applyFont="1" applyFill="1" applyBorder="1" applyAlignment="1">
      <alignment horizontal="center" vertical="center"/>
    </xf>
    <xf numFmtId="49" fontId="31" fillId="0" borderId="18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left" vertical="center"/>
    </xf>
    <xf numFmtId="180" fontId="31" fillId="0" borderId="18" xfId="0" applyNumberFormat="1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horizontal="center" vertical="center"/>
    </xf>
    <xf numFmtId="180" fontId="31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11" borderId="11" xfId="0" applyFont="1" applyFill="1" applyBorder="1" applyAlignment="1">
      <alignment horizontal="left" vertical="center" indent="1"/>
    </xf>
    <xf numFmtId="0" fontId="33" fillId="11" borderId="9" xfId="0" applyFont="1" applyFill="1" applyBorder="1" applyAlignment="1">
      <alignment horizontal="left" vertical="center" indent="1"/>
    </xf>
    <xf numFmtId="0" fontId="34" fillId="11" borderId="9" xfId="0" applyFont="1" applyFill="1" applyBorder="1" applyAlignment="1">
      <alignment horizontal="left" vertical="center"/>
    </xf>
    <xf numFmtId="0" fontId="34" fillId="11" borderId="12" xfId="0" applyFont="1" applyFill="1" applyBorder="1" applyAlignment="1">
      <alignment horizontal="left" vertical="center"/>
    </xf>
    <xf numFmtId="0" fontId="31" fillId="13" borderId="0" xfId="0" applyFont="1" applyFill="1" applyBorder="1" applyAlignment="1">
      <alignment horizontal="center" vertical="center"/>
    </xf>
    <xf numFmtId="49" fontId="31" fillId="13" borderId="0" xfId="0" applyNumberFormat="1" applyFont="1" applyFill="1" applyBorder="1" applyAlignment="1">
      <alignment horizontal="center" vertical="center"/>
    </xf>
    <xf numFmtId="180" fontId="31" fillId="13" borderId="0" xfId="0" applyNumberFormat="1" applyFont="1" applyFill="1" applyBorder="1" applyAlignment="1">
      <alignment horizontal="center" vertical="center"/>
    </xf>
    <xf numFmtId="0" fontId="32" fillId="13" borderId="0" xfId="0" applyFont="1" applyFill="1" applyBorder="1" applyAlignment="1">
      <alignment horizontal="center" vertical="center"/>
    </xf>
    <xf numFmtId="180" fontId="20" fillId="0" borderId="0" xfId="0" applyNumberFormat="1" applyFont="1">
      <alignment vertical="center"/>
    </xf>
    <xf numFmtId="18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E15" sqref="E15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38" t="s">
        <v>2155</v>
      </c>
      <c r="F2" s="23" t="s">
        <v>81</v>
      </c>
      <c r="G2" s="23" t="s">
        <v>80</v>
      </c>
    </row>
    <row r="3" spans="2:7" ht="24.75" customHeight="1" thickBot="1">
      <c r="B3" s="2" t="s">
        <v>1</v>
      </c>
      <c r="C3" s="27" t="s">
        <v>2157</v>
      </c>
      <c r="D3" s="30" t="s">
        <v>2158</v>
      </c>
      <c r="E3" s="31">
        <v>4212</v>
      </c>
      <c r="F3" s="24" t="s">
        <v>76</v>
      </c>
      <c r="G3" s="24">
        <v>12</v>
      </c>
    </row>
    <row r="4" spans="2:7" ht="24.75" customHeight="1" thickBot="1">
      <c r="B4" s="2" t="s">
        <v>2</v>
      </c>
      <c r="C4" s="27" t="s">
        <v>2243</v>
      </c>
      <c r="D4" s="34" t="s">
        <v>2159</v>
      </c>
      <c r="E4" s="26" t="s">
        <v>2160</v>
      </c>
      <c r="F4" s="24" t="s">
        <v>77</v>
      </c>
      <c r="G4" s="24">
        <v>10</v>
      </c>
    </row>
    <row r="5" spans="2:7" ht="24.75" customHeight="1" thickBot="1">
      <c r="B5" s="2" t="s">
        <v>3</v>
      </c>
      <c r="C5" s="27" t="s">
        <v>2271</v>
      </c>
      <c r="D5" s="34" t="s">
        <v>2161</v>
      </c>
      <c r="E5" s="35" t="s">
        <v>2162</v>
      </c>
      <c r="F5" s="32" t="s">
        <v>95</v>
      </c>
      <c r="G5" s="24">
        <v>10</v>
      </c>
    </row>
    <row r="6" spans="2:7" ht="24.75" customHeight="1" thickBot="1">
      <c r="B6" s="2" t="s">
        <v>5</v>
      </c>
      <c r="C6" s="27" t="s">
        <v>2341</v>
      </c>
      <c r="D6" s="30" t="s">
        <v>2342</v>
      </c>
      <c r="E6" s="37">
        <v>4212</v>
      </c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D3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4">
      <c r="B1" s="28" t="s">
        <v>2164</v>
      </c>
      <c r="D1" t="s">
        <v>2156</v>
      </c>
    </row>
    <row r="2" spans="2:4">
      <c r="B2" s="28" t="s">
        <v>2163</v>
      </c>
    </row>
    <row r="3" spans="2:4">
      <c r="B3" t="s">
        <v>97</v>
      </c>
      <c r="D3" t="s">
        <v>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2"/>
  <sheetViews>
    <sheetView workbookViewId="0"/>
  </sheetViews>
  <sheetFormatPr defaultRowHeight="16.5"/>
  <cols>
    <col min="1" max="1" width="8.5" bestFit="1" customWidth="1"/>
    <col min="2" max="2" width="37.75" bestFit="1" customWidth="1"/>
    <col min="3" max="3" width="19.75" bestFit="1" customWidth="1"/>
    <col min="4" max="4" width="6" style="47" bestFit="1" customWidth="1"/>
    <col min="5" max="5" width="10.25" style="47" bestFit="1" customWidth="1"/>
    <col min="6" max="6" width="7.5" bestFit="1" customWidth="1"/>
    <col min="7" max="7" width="12.25" style="49" bestFit="1" customWidth="1"/>
    <col min="8" max="8" width="7" style="49" bestFit="1" customWidth="1"/>
    <col min="9" max="11" width="5" bestFit="1" customWidth="1"/>
    <col min="12" max="12" width="10.25" bestFit="1" customWidth="1"/>
  </cols>
  <sheetData>
    <row r="1" spans="1:12">
      <c r="A1" s="45" t="s">
        <v>98</v>
      </c>
      <c r="B1" s="45" t="s">
        <v>99</v>
      </c>
      <c r="C1" s="45" t="s">
        <v>100</v>
      </c>
      <c r="D1" s="46" t="s">
        <v>101</v>
      </c>
      <c r="E1" s="46" t="s">
        <v>102</v>
      </c>
      <c r="F1" s="45" t="s">
        <v>103</v>
      </c>
      <c r="G1" s="48" t="s">
        <v>104</v>
      </c>
      <c r="H1" s="48" t="s">
        <v>105</v>
      </c>
      <c r="I1" s="45" t="s">
        <v>106</v>
      </c>
      <c r="J1" s="45" t="s">
        <v>107</v>
      </c>
      <c r="K1" s="45" t="s">
        <v>108</v>
      </c>
      <c r="L1" s="45" t="s">
        <v>109</v>
      </c>
    </row>
    <row r="2" spans="1:12">
      <c r="A2" s="28" t="s">
        <v>110</v>
      </c>
      <c r="B2" s="28" t="s">
        <v>111</v>
      </c>
      <c r="C2" s="28" t="s">
        <v>112</v>
      </c>
      <c r="D2" s="47" t="s">
        <v>113</v>
      </c>
      <c r="E2" s="47" t="s">
        <v>114</v>
      </c>
      <c r="F2" s="28" t="s">
        <v>115</v>
      </c>
      <c r="G2" s="49" t="s">
        <v>116</v>
      </c>
      <c r="H2" s="49" t="s">
        <v>117</v>
      </c>
      <c r="I2" s="28" t="s">
        <v>118</v>
      </c>
      <c r="J2" s="28" t="s">
        <v>119</v>
      </c>
      <c r="K2" s="28" t="s">
        <v>120</v>
      </c>
      <c r="L2" s="28" t="s">
        <v>121</v>
      </c>
    </row>
    <row r="3" spans="1:12">
      <c r="A3" s="28" t="s">
        <v>122</v>
      </c>
      <c r="B3" s="28" t="s">
        <v>123</v>
      </c>
      <c r="C3" s="28" t="s">
        <v>124</v>
      </c>
      <c r="D3" s="47" t="s">
        <v>125</v>
      </c>
      <c r="E3" s="47" t="s">
        <v>126</v>
      </c>
      <c r="F3" s="28" t="s">
        <v>115</v>
      </c>
      <c r="G3" s="49" t="s">
        <v>127</v>
      </c>
      <c r="H3" s="49" t="s">
        <v>128</v>
      </c>
      <c r="I3" s="28" t="s">
        <v>129</v>
      </c>
      <c r="J3" s="28" t="s">
        <v>130</v>
      </c>
      <c r="K3" s="28" t="s">
        <v>120</v>
      </c>
      <c r="L3" s="28" t="s">
        <v>131</v>
      </c>
    </row>
    <row r="4" spans="1:12">
      <c r="A4" s="28" t="s">
        <v>132</v>
      </c>
      <c r="B4" s="28" t="s">
        <v>133</v>
      </c>
      <c r="C4" s="28" t="s">
        <v>134</v>
      </c>
      <c r="D4" s="47" t="s">
        <v>135</v>
      </c>
      <c r="E4" s="47" t="s">
        <v>136</v>
      </c>
      <c r="F4" s="28" t="s">
        <v>115</v>
      </c>
      <c r="G4" s="49" t="s">
        <v>137</v>
      </c>
      <c r="H4" s="49" t="s">
        <v>138</v>
      </c>
      <c r="I4" s="28" t="s">
        <v>139</v>
      </c>
      <c r="J4" s="28" t="s">
        <v>140</v>
      </c>
      <c r="K4" s="28" t="s">
        <v>141</v>
      </c>
      <c r="L4" s="28" t="s">
        <v>131</v>
      </c>
    </row>
    <row r="5" spans="1:12">
      <c r="A5" s="28" t="s">
        <v>142</v>
      </c>
      <c r="B5" s="28" t="s">
        <v>143</v>
      </c>
      <c r="C5" s="28" t="s">
        <v>112</v>
      </c>
      <c r="D5" s="47" t="s">
        <v>113</v>
      </c>
      <c r="E5" s="47" t="s">
        <v>144</v>
      </c>
      <c r="F5" s="28" t="s">
        <v>115</v>
      </c>
      <c r="G5" s="49" t="s">
        <v>145</v>
      </c>
      <c r="H5" s="49" t="s">
        <v>117</v>
      </c>
      <c r="I5" s="28" t="s">
        <v>146</v>
      </c>
      <c r="J5" s="28" t="s">
        <v>147</v>
      </c>
      <c r="K5" s="28" t="s">
        <v>148</v>
      </c>
      <c r="L5" s="28" t="s">
        <v>115</v>
      </c>
    </row>
    <row r="6" spans="1:12">
      <c r="A6" s="28" t="s">
        <v>149</v>
      </c>
      <c r="B6" s="28" t="s">
        <v>150</v>
      </c>
      <c r="C6" s="28" t="s">
        <v>151</v>
      </c>
      <c r="D6" s="47" t="s">
        <v>152</v>
      </c>
      <c r="E6" s="47" t="s">
        <v>153</v>
      </c>
      <c r="F6" s="28" t="s">
        <v>115</v>
      </c>
      <c r="G6" s="49" t="s">
        <v>154</v>
      </c>
      <c r="H6" s="49" t="s">
        <v>128</v>
      </c>
      <c r="I6" s="28" t="s">
        <v>155</v>
      </c>
      <c r="J6" s="28" t="s">
        <v>156</v>
      </c>
      <c r="K6" s="28" t="s">
        <v>157</v>
      </c>
      <c r="L6" s="28" t="s">
        <v>115</v>
      </c>
    </row>
    <row r="7" spans="1:12">
      <c r="A7" s="28" t="s">
        <v>158</v>
      </c>
      <c r="B7" s="28" t="s">
        <v>159</v>
      </c>
      <c r="C7" s="28" t="s">
        <v>151</v>
      </c>
      <c r="D7" s="47" t="s">
        <v>152</v>
      </c>
      <c r="E7" s="47" t="s">
        <v>153</v>
      </c>
      <c r="F7" s="28" t="s">
        <v>115</v>
      </c>
      <c r="G7" s="49" t="s">
        <v>160</v>
      </c>
      <c r="H7" s="49" t="s">
        <v>115</v>
      </c>
      <c r="I7" s="28" t="s">
        <v>155</v>
      </c>
      <c r="J7" s="28" t="s">
        <v>156</v>
      </c>
      <c r="K7" s="28" t="s">
        <v>156</v>
      </c>
      <c r="L7" s="28" t="s">
        <v>115</v>
      </c>
    </row>
    <row r="8" spans="1:12">
      <c r="A8" s="28" t="s">
        <v>161</v>
      </c>
      <c r="B8" s="28" t="s">
        <v>162</v>
      </c>
      <c r="C8" s="28" t="s">
        <v>163</v>
      </c>
      <c r="D8" s="47" t="s">
        <v>113</v>
      </c>
      <c r="E8" s="47" t="s">
        <v>152</v>
      </c>
      <c r="F8" s="28" t="s">
        <v>115</v>
      </c>
      <c r="G8" s="49" t="s">
        <v>164</v>
      </c>
      <c r="H8" s="49" t="s">
        <v>165</v>
      </c>
      <c r="I8" s="28" t="s">
        <v>146</v>
      </c>
      <c r="J8" s="28" t="s">
        <v>166</v>
      </c>
      <c r="K8" s="28" t="s">
        <v>167</v>
      </c>
      <c r="L8" s="28" t="s">
        <v>168</v>
      </c>
    </row>
    <row r="9" spans="1:12">
      <c r="A9" s="28" t="s">
        <v>169</v>
      </c>
      <c r="B9" s="28" t="s">
        <v>170</v>
      </c>
      <c r="C9" s="28" t="s">
        <v>171</v>
      </c>
      <c r="D9" s="47" t="s">
        <v>113</v>
      </c>
      <c r="E9" s="47" t="s">
        <v>115</v>
      </c>
      <c r="F9" s="28" t="s">
        <v>115</v>
      </c>
      <c r="G9" s="49" t="s">
        <v>115</v>
      </c>
      <c r="H9" s="49" t="s">
        <v>115</v>
      </c>
      <c r="I9" s="28" t="s">
        <v>115</v>
      </c>
      <c r="J9" s="28" t="s">
        <v>115</v>
      </c>
      <c r="K9" s="28" t="s">
        <v>115</v>
      </c>
      <c r="L9" s="28" t="s">
        <v>115</v>
      </c>
    </row>
    <row r="10" spans="1:12">
      <c r="A10" s="28" t="s">
        <v>172</v>
      </c>
      <c r="B10" s="28" t="s">
        <v>173</v>
      </c>
      <c r="C10" s="28" t="s">
        <v>174</v>
      </c>
      <c r="D10" s="47" t="s">
        <v>125</v>
      </c>
      <c r="E10" s="47" t="s">
        <v>175</v>
      </c>
      <c r="F10" s="28" t="s">
        <v>115</v>
      </c>
      <c r="G10" s="49" t="s">
        <v>176</v>
      </c>
      <c r="H10" s="49" t="s">
        <v>177</v>
      </c>
      <c r="I10" s="28" t="s">
        <v>178</v>
      </c>
      <c r="J10" s="28" t="s">
        <v>179</v>
      </c>
      <c r="K10" s="28" t="s">
        <v>180</v>
      </c>
      <c r="L10" s="28" t="s">
        <v>121</v>
      </c>
    </row>
    <row r="11" spans="1:12">
      <c r="A11" s="28" t="s">
        <v>181</v>
      </c>
      <c r="B11" s="28" t="s">
        <v>182</v>
      </c>
      <c r="C11" s="28" t="s">
        <v>174</v>
      </c>
      <c r="D11" s="47" t="s">
        <v>125</v>
      </c>
      <c r="E11" s="47" t="s">
        <v>175</v>
      </c>
      <c r="F11" s="28" t="s">
        <v>115</v>
      </c>
      <c r="G11" s="49" t="s">
        <v>176</v>
      </c>
      <c r="H11" s="49" t="s">
        <v>177</v>
      </c>
      <c r="I11" s="28" t="s">
        <v>178</v>
      </c>
      <c r="J11" s="28" t="s">
        <v>179</v>
      </c>
      <c r="K11" s="28" t="s">
        <v>180</v>
      </c>
      <c r="L11" s="28" t="s">
        <v>121</v>
      </c>
    </row>
    <row r="12" spans="1:12">
      <c r="A12" s="28" t="s">
        <v>183</v>
      </c>
      <c r="B12" s="28" t="s">
        <v>184</v>
      </c>
      <c r="C12" s="28" t="s">
        <v>174</v>
      </c>
      <c r="D12" s="47" t="s">
        <v>125</v>
      </c>
      <c r="E12" s="47" t="s">
        <v>175</v>
      </c>
      <c r="F12" s="28" t="s">
        <v>115</v>
      </c>
      <c r="G12" s="49" t="s">
        <v>176</v>
      </c>
      <c r="H12" s="49" t="s">
        <v>177</v>
      </c>
      <c r="I12" s="28" t="s">
        <v>178</v>
      </c>
      <c r="J12" s="28" t="s">
        <v>179</v>
      </c>
      <c r="K12" s="28" t="s">
        <v>180</v>
      </c>
      <c r="L12" s="28" t="s">
        <v>115</v>
      </c>
    </row>
    <row r="13" spans="1:12">
      <c r="A13" s="28" t="s">
        <v>185</v>
      </c>
      <c r="B13" s="28" t="s">
        <v>186</v>
      </c>
      <c r="C13" s="28" t="s">
        <v>187</v>
      </c>
      <c r="D13" s="47" t="s">
        <v>125</v>
      </c>
      <c r="E13" s="47" t="s">
        <v>188</v>
      </c>
      <c r="F13" s="28" t="s">
        <v>115</v>
      </c>
      <c r="G13" s="49" t="s">
        <v>189</v>
      </c>
      <c r="H13" s="49" t="s">
        <v>190</v>
      </c>
      <c r="I13" s="28" t="s">
        <v>191</v>
      </c>
      <c r="J13" s="28" t="s">
        <v>192</v>
      </c>
      <c r="K13" s="28" t="s">
        <v>193</v>
      </c>
      <c r="L13" s="28" t="s">
        <v>115</v>
      </c>
    </row>
    <row r="14" spans="1:12">
      <c r="A14" s="28" t="s">
        <v>194</v>
      </c>
      <c r="B14" s="28" t="s">
        <v>195</v>
      </c>
      <c r="C14" s="28" t="s">
        <v>196</v>
      </c>
      <c r="D14" s="47" t="s">
        <v>125</v>
      </c>
      <c r="E14" s="47" t="s">
        <v>115</v>
      </c>
      <c r="F14" s="28" t="s">
        <v>115</v>
      </c>
      <c r="G14" s="49" t="s">
        <v>197</v>
      </c>
      <c r="H14" s="49" t="s">
        <v>198</v>
      </c>
      <c r="I14" s="28" t="s">
        <v>199</v>
      </c>
      <c r="J14" s="28" t="s">
        <v>193</v>
      </c>
      <c r="K14" s="28" t="s">
        <v>200</v>
      </c>
      <c r="L14" s="28" t="s">
        <v>115</v>
      </c>
    </row>
    <row r="15" spans="1:12">
      <c r="A15" s="28" t="s">
        <v>201</v>
      </c>
      <c r="B15" s="28" t="s">
        <v>202</v>
      </c>
      <c r="C15" s="28" t="s">
        <v>203</v>
      </c>
      <c r="D15" s="47" t="s">
        <v>125</v>
      </c>
      <c r="E15" s="47" t="s">
        <v>204</v>
      </c>
      <c r="F15" s="28" t="s">
        <v>115</v>
      </c>
      <c r="G15" s="49" t="s">
        <v>205</v>
      </c>
      <c r="H15" s="49" t="s">
        <v>147</v>
      </c>
      <c r="I15" s="28" t="s">
        <v>206</v>
      </c>
      <c r="J15" s="28" t="s">
        <v>207</v>
      </c>
      <c r="K15" s="28" t="s">
        <v>208</v>
      </c>
      <c r="L15" s="28" t="s">
        <v>115</v>
      </c>
    </row>
    <row r="16" spans="1:12">
      <c r="A16" s="28" t="s">
        <v>209</v>
      </c>
      <c r="B16" s="28" t="s">
        <v>210</v>
      </c>
      <c r="C16" s="28" t="s">
        <v>203</v>
      </c>
      <c r="D16" s="47" t="s">
        <v>125</v>
      </c>
      <c r="E16" s="47" t="s">
        <v>204</v>
      </c>
      <c r="F16" s="28" t="s">
        <v>115</v>
      </c>
      <c r="G16" s="49" t="s">
        <v>205</v>
      </c>
      <c r="H16" s="49" t="s">
        <v>147</v>
      </c>
      <c r="I16" s="28" t="s">
        <v>206</v>
      </c>
      <c r="J16" s="28" t="s">
        <v>207</v>
      </c>
      <c r="K16" s="28" t="s">
        <v>208</v>
      </c>
      <c r="L16" s="28" t="s">
        <v>115</v>
      </c>
    </row>
    <row r="17" spans="1:12">
      <c r="A17" s="28" t="s">
        <v>211</v>
      </c>
      <c r="B17" s="28" t="s">
        <v>212</v>
      </c>
      <c r="C17" s="28" t="s">
        <v>187</v>
      </c>
      <c r="D17" s="47" t="s">
        <v>125</v>
      </c>
      <c r="E17" s="47" t="s">
        <v>213</v>
      </c>
      <c r="F17" s="28" t="s">
        <v>115</v>
      </c>
      <c r="G17" s="49" t="s">
        <v>214</v>
      </c>
      <c r="H17" s="49" t="s">
        <v>190</v>
      </c>
      <c r="I17" s="28" t="s">
        <v>215</v>
      </c>
      <c r="J17" s="28" t="s">
        <v>216</v>
      </c>
      <c r="K17" s="28" t="s">
        <v>200</v>
      </c>
      <c r="L17" s="28" t="s">
        <v>131</v>
      </c>
    </row>
    <row r="18" spans="1:12">
      <c r="A18" s="28" t="s">
        <v>217</v>
      </c>
      <c r="B18" s="28" t="s">
        <v>218</v>
      </c>
      <c r="C18" s="28" t="s">
        <v>219</v>
      </c>
      <c r="D18" s="47" t="s">
        <v>125</v>
      </c>
      <c r="E18" s="47" t="s">
        <v>220</v>
      </c>
      <c r="F18" s="28" t="s">
        <v>115</v>
      </c>
      <c r="G18" s="49" t="s">
        <v>221</v>
      </c>
      <c r="H18" s="49" t="s">
        <v>222</v>
      </c>
      <c r="I18" s="28" t="s">
        <v>215</v>
      </c>
      <c r="J18" s="28" t="s">
        <v>223</v>
      </c>
      <c r="K18" s="28" t="s">
        <v>224</v>
      </c>
      <c r="L18" s="28" t="s">
        <v>121</v>
      </c>
    </row>
    <row r="19" spans="1:12">
      <c r="A19" s="28" t="s">
        <v>225</v>
      </c>
      <c r="B19" s="28" t="s">
        <v>226</v>
      </c>
      <c r="C19" s="28" t="s">
        <v>187</v>
      </c>
      <c r="D19" s="47" t="s">
        <v>125</v>
      </c>
      <c r="E19" s="47" t="s">
        <v>227</v>
      </c>
      <c r="F19" s="28" t="s">
        <v>115</v>
      </c>
      <c r="G19" s="49" t="s">
        <v>228</v>
      </c>
      <c r="H19" s="49" t="s">
        <v>229</v>
      </c>
      <c r="I19" s="28" t="s">
        <v>230</v>
      </c>
      <c r="J19" s="28" t="s">
        <v>231</v>
      </c>
      <c r="K19" s="28" t="s">
        <v>232</v>
      </c>
      <c r="L19" s="28" t="s">
        <v>115</v>
      </c>
    </row>
    <row r="20" spans="1:12">
      <c r="A20" s="28" t="s">
        <v>233</v>
      </c>
      <c r="B20" s="28" t="s">
        <v>234</v>
      </c>
      <c r="C20" s="28" t="s">
        <v>235</v>
      </c>
      <c r="D20" s="47" t="s">
        <v>113</v>
      </c>
      <c r="E20" s="47" t="s">
        <v>236</v>
      </c>
      <c r="F20" s="28" t="s">
        <v>237</v>
      </c>
      <c r="G20" s="49" t="s">
        <v>238</v>
      </c>
      <c r="H20" s="49" t="s">
        <v>239</v>
      </c>
      <c r="I20" s="28" t="s">
        <v>115</v>
      </c>
      <c r="J20" s="28" t="s">
        <v>115</v>
      </c>
      <c r="K20" s="28" t="s">
        <v>115</v>
      </c>
      <c r="L20" s="28" t="s">
        <v>115</v>
      </c>
    </row>
    <row r="21" spans="1:12">
      <c r="A21" s="28" t="s">
        <v>240</v>
      </c>
      <c r="B21" s="28" t="s">
        <v>241</v>
      </c>
      <c r="C21" s="28" t="s">
        <v>242</v>
      </c>
      <c r="D21" s="47" t="s">
        <v>113</v>
      </c>
      <c r="E21" s="47" t="s">
        <v>236</v>
      </c>
      <c r="F21" s="28" t="s">
        <v>237</v>
      </c>
      <c r="G21" s="49" t="s">
        <v>238</v>
      </c>
      <c r="H21" s="49" t="s">
        <v>239</v>
      </c>
      <c r="I21" s="28" t="s">
        <v>115</v>
      </c>
      <c r="J21" s="28" t="s">
        <v>115</v>
      </c>
      <c r="K21" s="28" t="s">
        <v>115</v>
      </c>
      <c r="L21" s="28" t="s">
        <v>115</v>
      </c>
    </row>
    <row r="22" spans="1:12">
      <c r="A22" s="28" t="s">
        <v>243</v>
      </c>
      <c r="B22" s="28" t="s">
        <v>244</v>
      </c>
      <c r="C22" s="28" t="s">
        <v>245</v>
      </c>
      <c r="D22" s="47" t="s">
        <v>125</v>
      </c>
      <c r="E22" s="47" t="s">
        <v>152</v>
      </c>
      <c r="F22" s="28" t="s">
        <v>115</v>
      </c>
      <c r="G22" s="49" t="s">
        <v>246</v>
      </c>
      <c r="H22" s="49" t="s">
        <v>247</v>
      </c>
      <c r="I22" s="28" t="s">
        <v>248</v>
      </c>
      <c r="J22" s="28" t="s">
        <v>249</v>
      </c>
      <c r="K22" s="28" t="s">
        <v>157</v>
      </c>
      <c r="L22" s="28" t="s">
        <v>115</v>
      </c>
    </row>
    <row r="23" spans="1:12">
      <c r="A23" s="28" t="s">
        <v>250</v>
      </c>
      <c r="B23" s="28" t="s">
        <v>251</v>
      </c>
      <c r="C23" s="28" t="s">
        <v>174</v>
      </c>
      <c r="D23" s="47" t="s">
        <v>125</v>
      </c>
      <c r="E23" s="47" t="s">
        <v>252</v>
      </c>
      <c r="F23" s="28" t="s">
        <v>115</v>
      </c>
      <c r="G23" s="49" t="s">
        <v>253</v>
      </c>
      <c r="H23" s="49" t="s">
        <v>254</v>
      </c>
      <c r="I23" s="28" t="s">
        <v>255</v>
      </c>
      <c r="J23" s="28" t="s">
        <v>256</v>
      </c>
      <c r="K23" s="28" t="s">
        <v>257</v>
      </c>
      <c r="L23" s="28" t="s">
        <v>121</v>
      </c>
    </row>
    <row r="24" spans="1:12">
      <c r="A24" s="28" t="s">
        <v>258</v>
      </c>
      <c r="B24" s="28" t="s">
        <v>259</v>
      </c>
      <c r="C24" s="28" t="s">
        <v>260</v>
      </c>
      <c r="D24" s="47" t="s">
        <v>113</v>
      </c>
      <c r="E24" s="47" t="s">
        <v>261</v>
      </c>
      <c r="F24" s="28" t="s">
        <v>115</v>
      </c>
      <c r="G24" s="49" t="s">
        <v>262</v>
      </c>
      <c r="H24" s="49" t="s">
        <v>263</v>
      </c>
      <c r="I24" s="28" t="s">
        <v>264</v>
      </c>
      <c r="J24" s="28" t="s">
        <v>265</v>
      </c>
      <c r="K24" s="28" t="s">
        <v>257</v>
      </c>
      <c r="L24" s="28" t="s">
        <v>121</v>
      </c>
    </row>
    <row r="25" spans="1:12">
      <c r="A25" s="28" t="s">
        <v>266</v>
      </c>
      <c r="B25" s="28" t="s">
        <v>267</v>
      </c>
      <c r="C25" s="28" t="s">
        <v>268</v>
      </c>
      <c r="D25" s="47" t="s">
        <v>160</v>
      </c>
      <c r="E25" s="47" t="s">
        <v>269</v>
      </c>
      <c r="F25" s="28" t="s">
        <v>115</v>
      </c>
      <c r="G25" s="49" t="s">
        <v>270</v>
      </c>
      <c r="H25" s="49" t="s">
        <v>157</v>
      </c>
      <c r="I25" s="28" t="s">
        <v>271</v>
      </c>
      <c r="J25" s="28" t="s">
        <v>272</v>
      </c>
      <c r="K25" s="28" t="s">
        <v>208</v>
      </c>
      <c r="L25" s="28" t="s">
        <v>115</v>
      </c>
    </row>
    <row r="26" spans="1:12">
      <c r="A26" s="28" t="s">
        <v>273</v>
      </c>
      <c r="B26" s="28" t="s">
        <v>274</v>
      </c>
      <c r="C26" s="28" t="s">
        <v>275</v>
      </c>
      <c r="D26" s="47" t="s">
        <v>113</v>
      </c>
      <c r="E26" s="47" t="s">
        <v>276</v>
      </c>
      <c r="F26" s="28" t="s">
        <v>115</v>
      </c>
      <c r="G26" s="49" t="s">
        <v>277</v>
      </c>
      <c r="H26" s="49" t="s">
        <v>278</v>
      </c>
      <c r="I26" s="28" t="s">
        <v>279</v>
      </c>
      <c r="J26" s="28" t="s">
        <v>280</v>
      </c>
      <c r="K26" s="28" t="s">
        <v>281</v>
      </c>
      <c r="L26" s="28" t="s">
        <v>121</v>
      </c>
    </row>
    <row r="27" spans="1:12">
      <c r="A27" s="28" t="s">
        <v>282</v>
      </c>
      <c r="B27" s="28" t="s">
        <v>283</v>
      </c>
      <c r="C27" s="28" t="s">
        <v>174</v>
      </c>
      <c r="D27" s="47" t="s">
        <v>125</v>
      </c>
      <c r="E27" s="47" t="s">
        <v>284</v>
      </c>
      <c r="F27" s="28" t="s">
        <v>115</v>
      </c>
      <c r="G27" s="49" t="s">
        <v>285</v>
      </c>
      <c r="H27" s="49" t="s">
        <v>286</v>
      </c>
      <c r="I27" s="28" t="s">
        <v>146</v>
      </c>
      <c r="J27" s="28" t="s">
        <v>287</v>
      </c>
      <c r="K27" s="28" t="s">
        <v>288</v>
      </c>
      <c r="L27" s="28" t="s">
        <v>115</v>
      </c>
    </row>
    <row r="28" spans="1:12">
      <c r="A28" s="28" t="s">
        <v>289</v>
      </c>
      <c r="B28" s="28" t="s">
        <v>290</v>
      </c>
      <c r="C28" s="28" t="s">
        <v>291</v>
      </c>
      <c r="D28" s="47" t="s">
        <v>257</v>
      </c>
      <c r="E28" s="47" t="s">
        <v>276</v>
      </c>
      <c r="F28" s="28" t="s">
        <v>115</v>
      </c>
      <c r="G28" s="49" t="s">
        <v>160</v>
      </c>
      <c r="H28" s="49" t="s">
        <v>237</v>
      </c>
      <c r="I28" s="28" t="s">
        <v>115</v>
      </c>
      <c r="J28" s="28" t="s">
        <v>115</v>
      </c>
      <c r="K28" s="28" t="s">
        <v>115</v>
      </c>
      <c r="L28" s="28" t="s">
        <v>115</v>
      </c>
    </row>
    <row r="29" spans="1:12">
      <c r="A29" s="28" t="s">
        <v>292</v>
      </c>
      <c r="B29" s="28" t="s">
        <v>293</v>
      </c>
      <c r="C29" s="28" t="s">
        <v>294</v>
      </c>
      <c r="D29" s="47" t="s">
        <v>257</v>
      </c>
      <c r="E29" s="47" t="s">
        <v>276</v>
      </c>
      <c r="F29" s="28" t="s">
        <v>115</v>
      </c>
      <c r="G29" s="49" t="s">
        <v>295</v>
      </c>
      <c r="H29" s="49" t="s">
        <v>296</v>
      </c>
      <c r="I29" s="28" t="s">
        <v>297</v>
      </c>
      <c r="J29" s="28" t="s">
        <v>298</v>
      </c>
      <c r="K29" s="28" t="s">
        <v>299</v>
      </c>
      <c r="L29" s="28" t="s">
        <v>115</v>
      </c>
    </row>
    <row r="30" spans="1:12">
      <c r="A30" s="28" t="s">
        <v>300</v>
      </c>
      <c r="B30" s="28" t="s">
        <v>301</v>
      </c>
      <c r="C30" s="28" t="s">
        <v>112</v>
      </c>
      <c r="D30" s="47" t="s">
        <v>113</v>
      </c>
      <c r="E30" s="47" t="s">
        <v>236</v>
      </c>
      <c r="F30" s="28" t="s">
        <v>237</v>
      </c>
      <c r="G30" s="49" t="s">
        <v>238</v>
      </c>
      <c r="H30" s="49" t="s">
        <v>302</v>
      </c>
      <c r="I30" s="28" t="s">
        <v>115</v>
      </c>
      <c r="J30" s="28" t="s">
        <v>115</v>
      </c>
      <c r="K30" s="28" t="s">
        <v>115</v>
      </c>
      <c r="L30" s="28" t="s">
        <v>115</v>
      </c>
    </row>
    <row r="31" spans="1:12">
      <c r="A31" s="28" t="s">
        <v>303</v>
      </c>
      <c r="B31" s="28" t="s">
        <v>304</v>
      </c>
      <c r="C31" s="28" t="s">
        <v>174</v>
      </c>
      <c r="D31" s="47" t="s">
        <v>125</v>
      </c>
      <c r="E31" s="47" t="s">
        <v>305</v>
      </c>
      <c r="F31" s="28" t="s">
        <v>115</v>
      </c>
      <c r="G31" s="49" t="s">
        <v>306</v>
      </c>
      <c r="H31" s="49" t="s">
        <v>307</v>
      </c>
      <c r="I31" s="28" t="s">
        <v>308</v>
      </c>
      <c r="J31" s="28" t="s">
        <v>309</v>
      </c>
      <c r="K31" s="28" t="s">
        <v>156</v>
      </c>
      <c r="L31" s="28" t="s">
        <v>115</v>
      </c>
    </row>
    <row r="32" spans="1:12">
      <c r="A32" s="28" t="s">
        <v>310</v>
      </c>
      <c r="B32" s="28" t="s">
        <v>311</v>
      </c>
      <c r="C32" s="28" t="s">
        <v>245</v>
      </c>
      <c r="D32" s="47" t="s">
        <v>125</v>
      </c>
      <c r="E32" s="47" t="s">
        <v>152</v>
      </c>
      <c r="F32" s="28" t="s">
        <v>115</v>
      </c>
      <c r="G32" s="49" t="s">
        <v>246</v>
      </c>
      <c r="H32" s="49" t="s">
        <v>247</v>
      </c>
      <c r="I32" s="28" t="s">
        <v>248</v>
      </c>
      <c r="J32" s="28" t="s">
        <v>249</v>
      </c>
      <c r="K32" s="28" t="s">
        <v>157</v>
      </c>
      <c r="L32" s="28" t="s">
        <v>115</v>
      </c>
    </row>
    <row r="33" spans="1:12">
      <c r="A33" s="28" t="s">
        <v>312</v>
      </c>
      <c r="B33" s="28" t="s">
        <v>313</v>
      </c>
      <c r="C33" s="28" t="s">
        <v>260</v>
      </c>
      <c r="D33" s="47" t="s">
        <v>113</v>
      </c>
      <c r="E33" s="47" t="s">
        <v>314</v>
      </c>
      <c r="F33" s="28" t="s">
        <v>115</v>
      </c>
      <c r="G33" s="49" t="s">
        <v>315</v>
      </c>
      <c r="H33" s="49" t="s">
        <v>263</v>
      </c>
      <c r="I33" s="28" t="s">
        <v>264</v>
      </c>
      <c r="J33" s="28" t="s">
        <v>316</v>
      </c>
      <c r="K33" s="28" t="s">
        <v>317</v>
      </c>
      <c r="L33" s="28" t="s">
        <v>121</v>
      </c>
    </row>
    <row r="34" spans="1:12">
      <c r="A34" s="28" t="s">
        <v>318</v>
      </c>
      <c r="B34" s="28" t="s">
        <v>319</v>
      </c>
      <c r="C34" s="28" t="s">
        <v>275</v>
      </c>
      <c r="D34" s="47" t="s">
        <v>113</v>
      </c>
      <c r="E34" s="47" t="s">
        <v>276</v>
      </c>
      <c r="F34" s="28" t="s">
        <v>115</v>
      </c>
      <c r="G34" s="49" t="s">
        <v>320</v>
      </c>
      <c r="H34" s="49" t="s">
        <v>278</v>
      </c>
      <c r="I34" s="28" t="s">
        <v>136</v>
      </c>
      <c r="J34" s="28" t="s">
        <v>223</v>
      </c>
      <c r="K34" s="28" t="s">
        <v>257</v>
      </c>
      <c r="L34" s="28" t="s">
        <v>121</v>
      </c>
    </row>
    <row r="35" spans="1:12">
      <c r="A35" s="28" t="s">
        <v>321</v>
      </c>
      <c r="B35" s="28" t="s">
        <v>322</v>
      </c>
      <c r="C35" s="28" t="s">
        <v>275</v>
      </c>
      <c r="D35" s="47" t="s">
        <v>113</v>
      </c>
      <c r="E35" s="47" t="s">
        <v>276</v>
      </c>
      <c r="F35" s="28" t="s">
        <v>115</v>
      </c>
      <c r="G35" s="49" t="s">
        <v>320</v>
      </c>
      <c r="H35" s="49" t="s">
        <v>278</v>
      </c>
      <c r="I35" s="28" t="s">
        <v>136</v>
      </c>
      <c r="J35" s="28" t="s">
        <v>223</v>
      </c>
      <c r="K35" s="28" t="s">
        <v>257</v>
      </c>
      <c r="L35" s="28" t="s">
        <v>121</v>
      </c>
    </row>
    <row r="36" spans="1:12">
      <c r="A36" s="28" t="s">
        <v>323</v>
      </c>
      <c r="B36" s="28" t="s">
        <v>324</v>
      </c>
      <c r="C36" s="28" t="s">
        <v>174</v>
      </c>
      <c r="D36" s="47" t="s">
        <v>125</v>
      </c>
      <c r="E36" s="47" t="s">
        <v>314</v>
      </c>
      <c r="F36" s="28" t="s">
        <v>115</v>
      </c>
      <c r="G36" s="49" t="s">
        <v>325</v>
      </c>
      <c r="H36" s="49" t="s">
        <v>263</v>
      </c>
      <c r="I36" s="28" t="s">
        <v>326</v>
      </c>
      <c r="J36" s="28" t="s">
        <v>223</v>
      </c>
      <c r="K36" s="28" t="s">
        <v>257</v>
      </c>
      <c r="L36" s="28" t="s">
        <v>121</v>
      </c>
    </row>
    <row r="37" spans="1:12">
      <c r="A37" s="28" t="s">
        <v>327</v>
      </c>
      <c r="B37" s="28" t="s">
        <v>328</v>
      </c>
      <c r="C37" s="28" t="s">
        <v>219</v>
      </c>
      <c r="D37" s="47" t="s">
        <v>125</v>
      </c>
      <c r="E37" s="47" t="s">
        <v>314</v>
      </c>
      <c r="F37" s="28" t="s">
        <v>115</v>
      </c>
      <c r="G37" s="49" t="s">
        <v>329</v>
      </c>
      <c r="H37" s="49" t="s">
        <v>330</v>
      </c>
      <c r="I37" s="28" t="s">
        <v>215</v>
      </c>
      <c r="J37" s="28" t="s">
        <v>331</v>
      </c>
      <c r="K37" s="28" t="s">
        <v>332</v>
      </c>
      <c r="L37" s="28" t="s">
        <v>131</v>
      </c>
    </row>
    <row r="38" spans="1:12">
      <c r="A38" s="28" t="s">
        <v>333</v>
      </c>
      <c r="B38" s="28" t="s">
        <v>334</v>
      </c>
      <c r="C38" s="28" t="s">
        <v>335</v>
      </c>
      <c r="D38" s="47" t="s">
        <v>257</v>
      </c>
      <c r="E38" s="47" t="s">
        <v>276</v>
      </c>
      <c r="F38" s="28" t="s">
        <v>115</v>
      </c>
      <c r="G38" s="49" t="s">
        <v>336</v>
      </c>
      <c r="H38" s="49" t="s">
        <v>229</v>
      </c>
      <c r="I38" s="28" t="s">
        <v>337</v>
      </c>
      <c r="J38" s="28" t="s">
        <v>338</v>
      </c>
      <c r="K38" s="28" t="s">
        <v>339</v>
      </c>
      <c r="L38" s="28" t="s">
        <v>115</v>
      </c>
    </row>
    <row r="39" spans="1:12">
      <c r="A39" s="28" t="s">
        <v>340</v>
      </c>
      <c r="B39" s="28" t="s">
        <v>341</v>
      </c>
      <c r="C39" s="28" t="s">
        <v>342</v>
      </c>
      <c r="D39" s="47" t="s">
        <v>125</v>
      </c>
      <c r="E39" s="47" t="s">
        <v>314</v>
      </c>
      <c r="F39" s="28" t="s">
        <v>115</v>
      </c>
      <c r="G39" s="49" t="s">
        <v>343</v>
      </c>
      <c r="H39" s="49" t="s">
        <v>344</v>
      </c>
      <c r="I39" s="28" t="s">
        <v>345</v>
      </c>
      <c r="J39" s="28" t="s">
        <v>346</v>
      </c>
      <c r="K39" s="28" t="s">
        <v>347</v>
      </c>
      <c r="L39" s="28" t="s">
        <v>115</v>
      </c>
    </row>
    <row r="40" spans="1:12">
      <c r="A40" s="28" t="s">
        <v>348</v>
      </c>
      <c r="B40" s="28" t="s">
        <v>349</v>
      </c>
      <c r="C40" s="28" t="s">
        <v>112</v>
      </c>
      <c r="D40" s="47" t="s">
        <v>113</v>
      </c>
      <c r="E40" s="47" t="s">
        <v>236</v>
      </c>
      <c r="F40" s="28" t="s">
        <v>237</v>
      </c>
      <c r="G40" s="49" t="s">
        <v>238</v>
      </c>
      <c r="H40" s="49" t="s">
        <v>302</v>
      </c>
      <c r="I40" s="28" t="s">
        <v>115</v>
      </c>
      <c r="J40" s="28" t="s">
        <v>115</v>
      </c>
      <c r="K40" s="28" t="s">
        <v>115</v>
      </c>
      <c r="L40" s="28" t="s">
        <v>115</v>
      </c>
    </row>
    <row r="41" spans="1:12">
      <c r="A41" s="28" t="s">
        <v>350</v>
      </c>
      <c r="B41" s="28" t="s">
        <v>351</v>
      </c>
      <c r="C41" s="28" t="s">
        <v>245</v>
      </c>
      <c r="D41" s="47" t="s">
        <v>125</v>
      </c>
      <c r="E41" s="47" t="s">
        <v>152</v>
      </c>
      <c r="F41" s="28" t="s">
        <v>115</v>
      </c>
      <c r="G41" s="49" t="s">
        <v>246</v>
      </c>
      <c r="H41" s="49" t="s">
        <v>247</v>
      </c>
      <c r="I41" s="28" t="s">
        <v>248</v>
      </c>
      <c r="J41" s="28" t="s">
        <v>249</v>
      </c>
      <c r="K41" s="28" t="s">
        <v>157</v>
      </c>
      <c r="L41" s="28" t="s">
        <v>115</v>
      </c>
    </row>
    <row r="42" spans="1:12">
      <c r="A42" s="28" t="s">
        <v>352</v>
      </c>
      <c r="B42" s="28" t="s">
        <v>353</v>
      </c>
      <c r="C42" s="28" t="s">
        <v>245</v>
      </c>
      <c r="D42" s="47" t="s">
        <v>125</v>
      </c>
      <c r="E42" s="47" t="s">
        <v>152</v>
      </c>
      <c r="F42" s="28" t="s">
        <v>115</v>
      </c>
      <c r="G42" s="49" t="s">
        <v>246</v>
      </c>
      <c r="H42" s="49" t="s">
        <v>247</v>
      </c>
      <c r="I42" s="28" t="s">
        <v>248</v>
      </c>
      <c r="J42" s="28" t="s">
        <v>249</v>
      </c>
      <c r="K42" s="28" t="s">
        <v>157</v>
      </c>
      <c r="L42" s="28" t="s">
        <v>115</v>
      </c>
    </row>
    <row r="43" spans="1:12">
      <c r="A43" s="28" t="s">
        <v>354</v>
      </c>
      <c r="B43" s="28" t="s">
        <v>355</v>
      </c>
      <c r="C43" s="28" t="s">
        <v>356</v>
      </c>
      <c r="D43" s="47" t="s">
        <v>113</v>
      </c>
      <c r="E43" s="47" t="s">
        <v>357</v>
      </c>
      <c r="F43" s="28" t="s">
        <v>115</v>
      </c>
      <c r="G43" s="49" t="s">
        <v>358</v>
      </c>
      <c r="H43" s="49" t="s">
        <v>359</v>
      </c>
      <c r="I43" s="28" t="s">
        <v>130</v>
      </c>
      <c r="J43" s="28" t="s">
        <v>200</v>
      </c>
      <c r="K43" s="28" t="s">
        <v>360</v>
      </c>
      <c r="L43" s="28" t="s">
        <v>361</v>
      </c>
    </row>
    <row r="44" spans="1:12">
      <c r="A44" s="28" t="s">
        <v>362</v>
      </c>
      <c r="B44" s="28" t="s">
        <v>363</v>
      </c>
      <c r="C44" s="28" t="s">
        <v>364</v>
      </c>
      <c r="D44" s="47" t="s">
        <v>160</v>
      </c>
      <c r="E44" s="47" t="s">
        <v>365</v>
      </c>
      <c r="F44" s="28" t="s">
        <v>115</v>
      </c>
      <c r="G44" s="49" t="s">
        <v>270</v>
      </c>
      <c r="H44" s="49" t="s">
        <v>157</v>
      </c>
      <c r="I44" s="28" t="s">
        <v>271</v>
      </c>
      <c r="J44" s="28" t="s">
        <v>272</v>
      </c>
      <c r="K44" s="28" t="s">
        <v>208</v>
      </c>
      <c r="L44" s="28" t="s">
        <v>115</v>
      </c>
    </row>
    <row r="45" spans="1:12">
      <c r="A45" s="28" t="s">
        <v>366</v>
      </c>
      <c r="B45" s="28" t="s">
        <v>367</v>
      </c>
      <c r="C45" s="28" t="s">
        <v>364</v>
      </c>
      <c r="D45" s="47" t="s">
        <v>160</v>
      </c>
      <c r="E45" s="47" t="s">
        <v>365</v>
      </c>
      <c r="F45" s="28" t="s">
        <v>115</v>
      </c>
      <c r="G45" s="49" t="s">
        <v>270</v>
      </c>
      <c r="H45" s="49" t="s">
        <v>157</v>
      </c>
      <c r="I45" s="28" t="s">
        <v>271</v>
      </c>
      <c r="J45" s="28" t="s">
        <v>272</v>
      </c>
      <c r="K45" s="28" t="s">
        <v>208</v>
      </c>
      <c r="L45" s="28" t="s">
        <v>115</v>
      </c>
    </row>
    <row r="46" spans="1:12">
      <c r="A46" s="28" t="s">
        <v>368</v>
      </c>
      <c r="B46" s="28" t="s">
        <v>369</v>
      </c>
      <c r="C46" s="28" t="s">
        <v>356</v>
      </c>
      <c r="D46" s="47" t="s">
        <v>113</v>
      </c>
      <c r="E46" s="47" t="s">
        <v>370</v>
      </c>
      <c r="F46" s="28" t="s">
        <v>115</v>
      </c>
      <c r="G46" s="49" t="s">
        <v>358</v>
      </c>
      <c r="H46" s="49" t="s">
        <v>359</v>
      </c>
      <c r="I46" s="28" t="s">
        <v>130</v>
      </c>
      <c r="J46" s="28" t="s">
        <v>200</v>
      </c>
      <c r="K46" s="28" t="s">
        <v>360</v>
      </c>
      <c r="L46" s="28" t="s">
        <v>361</v>
      </c>
    </row>
    <row r="47" spans="1:12">
      <c r="A47" s="28" t="s">
        <v>371</v>
      </c>
      <c r="B47" s="28" t="s">
        <v>372</v>
      </c>
      <c r="C47" s="28" t="s">
        <v>364</v>
      </c>
      <c r="D47" s="47" t="s">
        <v>160</v>
      </c>
      <c r="E47" s="47" t="s">
        <v>365</v>
      </c>
      <c r="F47" s="28" t="s">
        <v>115</v>
      </c>
      <c r="G47" s="49" t="s">
        <v>270</v>
      </c>
      <c r="H47" s="49" t="s">
        <v>157</v>
      </c>
      <c r="I47" s="28" t="s">
        <v>271</v>
      </c>
      <c r="J47" s="28" t="s">
        <v>272</v>
      </c>
      <c r="K47" s="28" t="s">
        <v>208</v>
      </c>
      <c r="L47" s="28" t="s">
        <v>115</v>
      </c>
    </row>
    <row r="48" spans="1:12">
      <c r="A48" s="28" t="s">
        <v>373</v>
      </c>
      <c r="B48" s="28" t="s">
        <v>374</v>
      </c>
      <c r="C48" s="28" t="s">
        <v>364</v>
      </c>
      <c r="D48" s="47" t="s">
        <v>160</v>
      </c>
      <c r="E48" s="47" t="s">
        <v>365</v>
      </c>
      <c r="F48" s="28" t="s">
        <v>115</v>
      </c>
      <c r="G48" s="49" t="s">
        <v>270</v>
      </c>
      <c r="H48" s="49" t="s">
        <v>157</v>
      </c>
      <c r="I48" s="28" t="s">
        <v>271</v>
      </c>
      <c r="J48" s="28" t="s">
        <v>272</v>
      </c>
      <c r="K48" s="28" t="s">
        <v>208</v>
      </c>
      <c r="L48" s="28" t="s">
        <v>115</v>
      </c>
    </row>
    <row r="49" spans="1:12">
      <c r="A49" s="28" t="s">
        <v>375</v>
      </c>
      <c r="B49" s="28" t="s">
        <v>376</v>
      </c>
      <c r="C49" s="28" t="s">
        <v>364</v>
      </c>
      <c r="D49" s="47" t="s">
        <v>160</v>
      </c>
      <c r="E49" s="47" t="s">
        <v>365</v>
      </c>
      <c r="F49" s="28" t="s">
        <v>115</v>
      </c>
      <c r="G49" s="49" t="s">
        <v>270</v>
      </c>
      <c r="H49" s="49" t="s">
        <v>157</v>
      </c>
      <c r="I49" s="28" t="s">
        <v>271</v>
      </c>
      <c r="J49" s="28" t="s">
        <v>272</v>
      </c>
      <c r="K49" s="28" t="s">
        <v>208</v>
      </c>
      <c r="L49" s="28" t="s">
        <v>115</v>
      </c>
    </row>
    <row r="50" spans="1:12">
      <c r="A50" s="28" t="s">
        <v>377</v>
      </c>
      <c r="B50" s="28" t="s">
        <v>378</v>
      </c>
      <c r="C50" s="28" t="s">
        <v>364</v>
      </c>
      <c r="D50" s="47" t="s">
        <v>160</v>
      </c>
      <c r="E50" s="47" t="s">
        <v>365</v>
      </c>
      <c r="F50" s="28" t="s">
        <v>115</v>
      </c>
      <c r="G50" s="49" t="s">
        <v>270</v>
      </c>
      <c r="H50" s="49" t="s">
        <v>157</v>
      </c>
      <c r="I50" s="28" t="s">
        <v>271</v>
      </c>
      <c r="J50" s="28" t="s">
        <v>272</v>
      </c>
      <c r="K50" s="28" t="s">
        <v>208</v>
      </c>
      <c r="L50" s="28" t="s">
        <v>115</v>
      </c>
    </row>
    <row r="51" spans="1:12">
      <c r="A51" s="28" t="s">
        <v>379</v>
      </c>
      <c r="B51" s="28" t="s">
        <v>380</v>
      </c>
      <c r="C51" s="28" t="s">
        <v>364</v>
      </c>
      <c r="D51" s="47" t="s">
        <v>160</v>
      </c>
      <c r="E51" s="47" t="s">
        <v>365</v>
      </c>
      <c r="F51" s="28" t="s">
        <v>115</v>
      </c>
      <c r="G51" s="49" t="s">
        <v>270</v>
      </c>
      <c r="H51" s="49" t="s">
        <v>157</v>
      </c>
      <c r="I51" s="28" t="s">
        <v>271</v>
      </c>
      <c r="J51" s="28" t="s">
        <v>272</v>
      </c>
      <c r="K51" s="28" t="s">
        <v>208</v>
      </c>
      <c r="L51" s="28" t="s">
        <v>115</v>
      </c>
    </row>
    <row r="52" spans="1:12">
      <c r="A52" s="28" t="s">
        <v>381</v>
      </c>
      <c r="B52" s="28" t="s">
        <v>382</v>
      </c>
      <c r="C52" s="28" t="s">
        <v>383</v>
      </c>
      <c r="D52" s="47" t="s">
        <v>160</v>
      </c>
      <c r="E52" s="47" t="s">
        <v>115</v>
      </c>
      <c r="F52" s="28" t="s">
        <v>115</v>
      </c>
      <c r="G52" s="49" t="s">
        <v>384</v>
      </c>
      <c r="H52" s="49" t="s">
        <v>385</v>
      </c>
      <c r="I52" s="28" t="s">
        <v>115</v>
      </c>
      <c r="J52" s="28" t="s">
        <v>115</v>
      </c>
      <c r="K52" s="28" t="s">
        <v>115</v>
      </c>
      <c r="L52" s="28" t="s">
        <v>115</v>
      </c>
    </row>
    <row r="53" spans="1:12">
      <c r="A53" s="28" t="s">
        <v>386</v>
      </c>
      <c r="B53" s="28" t="s">
        <v>387</v>
      </c>
      <c r="C53" s="28" t="s">
        <v>388</v>
      </c>
      <c r="D53" s="47" t="s">
        <v>113</v>
      </c>
      <c r="E53" s="47" t="s">
        <v>115</v>
      </c>
      <c r="F53" s="28" t="s">
        <v>115</v>
      </c>
      <c r="G53" s="49" t="s">
        <v>160</v>
      </c>
      <c r="H53" s="49" t="s">
        <v>278</v>
      </c>
      <c r="I53" s="28" t="s">
        <v>115</v>
      </c>
      <c r="J53" s="28" t="s">
        <v>115</v>
      </c>
      <c r="K53" s="28" t="s">
        <v>115</v>
      </c>
      <c r="L53" s="28" t="s">
        <v>115</v>
      </c>
    </row>
    <row r="54" spans="1:12">
      <c r="A54" s="28" t="s">
        <v>389</v>
      </c>
      <c r="B54" s="28" t="s">
        <v>390</v>
      </c>
      <c r="C54" s="28" t="s">
        <v>391</v>
      </c>
      <c r="D54" s="47" t="s">
        <v>125</v>
      </c>
      <c r="E54" s="47" t="s">
        <v>126</v>
      </c>
      <c r="F54" s="28" t="s">
        <v>115</v>
      </c>
      <c r="G54" s="49" t="s">
        <v>392</v>
      </c>
      <c r="H54" s="49" t="s">
        <v>393</v>
      </c>
      <c r="I54" s="28" t="s">
        <v>394</v>
      </c>
      <c r="J54" s="28" t="s">
        <v>395</v>
      </c>
      <c r="K54" s="28" t="s">
        <v>317</v>
      </c>
      <c r="L54" s="28" t="s">
        <v>361</v>
      </c>
    </row>
    <row r="55" spans="1:12">
      <c r="A55" s="28" t="s">
        <v>396</v>
      </c>
      <c r="B55" s="28" t="s">
        <v>397</v>
      </c>
      <c r="C55" s="28" t="s">
        <v>398</v>
      </c>
      <c r="D55" s="47" t="s">
        <v>113</v>
      </c>
      <c r="E55" s="47" t="s">
        <v>399</v>
      </c>
      <c r="F55" s="28" t="s">
        <v>115</v>
      </c>
      <c r="G55" s="49" t="s">
        <v>400</v>
      </c>
      <c r="H55" s="49" t="s">
        <v>401</v>
      </c>
      <c r="I55" s="28" t="s">
        <v>125</v>
      </c>
      <c r="J55" s="28" t="s">
        <v>402</v>
      </c>
      <c r="K55" s="28" t="s">
        <v>403</v>
      </c>
      <c r="L55" s="28" t="s">
        <v>361</v>
      </c>
    </row>
    <row r="56" spans="1:12">
      <c r="A56" s="28" t="s">
        <v>404</v>
      </c>
      <c r="B56" s="28" t="s">
        <v>405</v>
      </c>
      <c r="C56" s="28" t="s">
        <v>391</v>
      </c>
      <c r="D56" s="47" t="s">
        <v>125</v>
      </c>
      <c r="E56" s="47" t="s">
        <v>126</v>
      </c>
      <c r="F56" s="28" t="s">
        <v>115</v>
      </c>
      <c r="G56" s="49" t="s">
        <v>392</v>
      </c>
      <c r="H56" s="49" t="s">
        <v>393</v>
      </c>
      <c r="I56" s="28" t="s">
        <v>394</v>
      </c>
      <c r="J56" s="28" t="s">
        <v>395</v>
      </c>
      <c r="K56" s="28" t="s">
        <v>317</v>
      </c>
      <c r="L56" s="28" t="s">
        <v>361</v>
      </c>
    </row>
    <row r="57" spans="1:12">
      <c r="A57" s="28" t="s">
        <v>406</v>
      </c>
      <c r="B57" s="28" t="s">
        <v>407</v>
      </c>
      <c r="C57" s="28" t="s">
        <v>408</v>
      </c>
      <c r="D57" s="47" t="s">
        <v>409</v>
      </c>
      <c r="E57" s="47" t="s">
        <v>115</v>
      </c>
      <c r="F57" s="28" t="s">
        <v>115</v>
      </c>
      <c r="G57" s="49" t="s">
        <v>115</v>
      </c>
      <c r="H57" s="49" t="s">
        <v>115</v>
      </c>
      <c r="I57" s="28" t="s">
        <v>115</v>
      </c>
      <c r="J57" s="28" t="s">
        <v>115</v>
      </c>
      <c r="K57" s="28" t="s">
        <v>115</v>
      </c>
      <c r="L57" s="28" t="s">
        <v>115</v>
      </c>
    </row>
    <row r="58" spans="1:12">
      <c r="A58" s="28" t="s">
        <v>410</v>
      </c>
      <c r="B58" s="28" t="s">
        <v>411</v>
      </c>
      <c r="C58" s="28" t="s">
        <v>235</v>
      </c>
      <c r="D58" s="47" t="s">
        <v>113</v>
      </c>
      <c r="E58" s="47" t="s">
        <v>252</v>
      </c>
      <c r="F58" s="28" t="s">
        <v>115</v>
      </c>
      <c r="G58" s="49" t="s">
        <v>412</v>
      </c>
      <c r="H58" s="49" t="s">
        <v>413</v>
      </c>
      <c r="I58" s="28" t="s">
        <v>287</v>
      </c>
      <c r="J58" s="28" t="s">
        <v>414</v>
      </c>
      <c r="K58" s="28" t="s">
        <v>157</v>
      </c>
      <c r="L58" s="28" t="s">
        <v>121</v>
      </c>
    </row>
    <row r="59" spans="1:12">
      <c r="A59" s="28" t="s">
        <v>415</v>
      </c>
      <c r="B59" s="28" t="s">
        <v>416</v>
      </c>
      <c r="C59" s="28" t="s">
        <v>417</v>
      </c>
      <c r="D59" s="47" t="s">
        <v>409</v>
      </c>
      <c r="E59" s="47" t="s">
        <v>252</v>
      </c>
      <c r="F59" s="28" t="s">
        <v>115</v>
      </c>
      <c r="G59" s="49" t="s">
        <v>418</v>
      </c>
      <c r="H59" s="49" t="s">
        <v>403</v>
      </c>
      <c r="I59" s="28" t="s">
        <v>419</v>
      </c>
      <c r="J59" s="28" t="s">
        <v>420</v>
      </c>
      <c r="K59" s="28" t="s">
        <v>125</v>
      </c>
      <c r="L59" s="28" t="s">
        <v>121</v>
      </c>
    </row>
    <row r="60" spans="1:12">
      <c r="A60" s="28" t="s">
        <v>421</v>
      </c>
      <c r="B60" s="28" t="s">
        <v>422</v>
      </c>
      <c r="C60" s="28" t="s">
        <v>275</v>
      </c>
      <c r="D60" s="47" t="s">
        <v>113</v>
      </c>
      <c r="E60" s="47" t="s">
        <v>227</v>
      </c>
      <c r="F60" s="28" t="s">
        <v>115</v>
      </c>
      <c r="G60" s="49" t="s">
        <v>423</v>
      </c>
      <c r="H60" s="49" t="s">
        <v>278</v>
      </c>
      <c r="I60" s="28" t="s">
        <v>215</v>
      </c>
      <c r="J60" s="28" t="s">
        <v>223</v>
      </c>
      <c r="K60" s="28" t="s">
        <v>249</v>
      </c>
      <c r="L60" s="28" t="s">
        <v>361</v>
      </c>
    </row>
    <row r="61" spans="1:12">
      <c r="A61" s="28" t="s">
        <v>424</v>
      </c>
      <c r="B61" s="28" t="s">
        <v>425</v>
      </c>
      <c r="C61" s="28" t="s">
        <v>275</v>
      </c>
      <c r="D61" s="47" t="s">
        <v>113</v>
      </c>
      <c r="E61" s="47" t="s">
        <v>227</v>
      </c>
      <c r="F61" s="28" t="s">
        <v>115</v>
      </c>
      <c r="G61" s="49" t="s">
        <v>423</v>
      </c>
      <c r="H61" s="49" t="s">
        <v>278</v>
      </c>
      <c r="I61" s="28" t="s">
        <v>215</v>
      </c>
      <c r="J61" s="28" t="s">
        <v>223</v>
      </c>
      <c r="K61" s="28" t="s">
        <v>249</v>
      </c>
      <c r="L61" s="28" t="s">
        <v>361</v>
      </c>
    </row>
    <row r="62" spans="1:12">
      <c r="A62" s="28" t="s">
        <v>426</v>
      </c>
      <c r="B62" s="28" t="s">
        <v>427</v>
      </c>
      <c r="C62" s="28" t="s">
        <v>275</v>
      </c>
      <c r="D62" s="47" t="s">
        <v>113</v>
      </c>
      <c r="E62" s="47" t="s">
        <v>227</v>
      </c>
      <c r="F62" s="28" t="s">
        <v>115</v>
      </c>
      <c r="G62" s="49" t="s">
        <v>423</v>
      </c>
      <c r="H62" s="49" t="s">
        <v>278</v>
      </c>
      <c r="I62" s="28" t="s">
        <v>215</v>
      </c>
      <c r="J62" s="28" t="s">
        <v>223</v>
      </c>
      <c r="K62" s="28" t="s">
        <v>249</v>
      </c>
      <c r="L62" s="28" t="s">
        <v>361</v>
      </c>
    </row>
    <row r="63" spans="1:12">
      <c r="A63" s="28" t="s">
        <v>428</v>
      </c>
      <c r="B63" s="28" t="s">
        <v>429</v>
      </c>
      <c r="C63" s="28" t="s">
        <v>235</v>
      </c>
      <c r="D63" s="47" t="s">
        <v>113</v>
      </c>
      <c r="E63" s="47" t="s">
        <v>252</v>
      </c>
      <c r="F63" s="28" t="s">
        <v>115</v>
      </c>
      <c r="G63" s="49" t="s">
        <v>430</v>
      </c>
      <c r="H63" s="49" t="s">
        <v>239</v>
      </c>
      <c r="I63" s="28" t="s">
        <v>326</v>
      </c>
      <c r="J63" s="28" t="s">
        <v>280</v>
      </c>
      <c r="K63" s="28" t="s">
        <v>431</v>
      </c>
      <c r="L63" s="28" t="s">
        <v>361</v>
      </c>
    </row>
    <row r="64" spans="1:12">
      <c r="A64" s="28" t="s">
        <v>432</v>
      </c>
      <c r="B64" s="28" t="s">
        <v>433</v>
      </c>
      <c r="C64" s="28" t="s">
        <v>235</v>
      </c>
      <c r="D64" s="47" t="s">
        <v>113</v>
      </c>
      <c r="E64" s="47" t="s">
        <v>252</v>
      </c>
      <c r="F64" s="28" t="s">
        <v>115</v>
      </c>
      <c r="G64" s="49" t="s">
        <v>430</v>
      </c>
      <c r="H64" s="49" t="s">
        <v>239</v>
      </c>
      <c r="I64" s="28" t="s">
        <v>326</v>
      </c>
      <c r="J64" s="28" t="s">
        <v>280</v>
      </c>
      <c r="K64" s="28" t="s">
        <v>431</v>
      </c>
      <c r="L64" s="28" t="s">
        <v>361</v>
      </c>
    </row>
    <row r="65" spans="1:12">
      <c r="A65" s="28" t="s">
        <v>434</v>
      </c>
      <c r="B65" s="28" t="s">
        <v>435</v>
      </c>
      <c r="C65" s="28" t="s">
        <v>235</v>
      </c>
      <c r="D65" s="47" t="s">
        <v>113</v>
      </c>
      <c r="E65" s="47" t="s">
        <v>252</v>
      </c>
      <c r="F65" s="28" t="s">
        <v>115</v>
      </c>
      <c r="G65" s="49" t="s">
        <v>430</v>
      </c>
      <c r="H65" s="49" t="s">
        <v>239</v>
      </c>
      <c r="I65" s="28" t="s">
        <v>326</v>
      </c>
      <c r="J65" s="28" t="s">
        <v>280</v>
      </c>
      <c r="K65" s="28" t="s">
        <v>431</v>
      </c>
      <c r="L65" s="28" t="s">
        <v>361</v>
      </c>
    </row>
    <row r="66" spans="1:12">
      <c r="A66" s="28" t="s">
        <v>436</v>
      </c>
      <c r="B66" s="28" t="s">
        <v>437</v>
      </c>
      <c r="C66" s="28" t="s">
        <v>438</v>
      </c>
      <c r="D66" s="47" t="s">
        <v>317</v>
      </c>
      <c r="E66" s="47" t="s">
        <v>439</v>
      </c>
      <c r="F66" s="28" t="s">
        <v>115</v>
      </c>
      <c r="G66" s="49" t="s">
        <v>440</v>
      </c>
      <c r="H66" s="49" t="s">
        <v>441</v>
      </c>
      <c r="I66" s="28" t="s">
        <v>442</v>
      </c>
      <c r="J66" s="28" t="s">
        <v>443</v>
      </c>
      <c r="K66" s="28" t="s">
        <v>444</v>
      </c>
      <c r="L66" s="28" t="s">
        <v>445</v>
      </c>
    </row>
    <row r="67" spans="1:12">
      <c r="A67" s="28" t="s">
        <v>446</v>
      </c>
      <c r="B67" s="28" t="s">
        <v>447</v>
      </c>
      <c r="C67" s="28" t="s">
        <v>438</v>
      </c>
      <c r="D67" s="47" t="s">
        <v>317</v>
      </c>
      <c r="E67" s="47" t="s">
        <v>439</v>
      </c>
      <c r="F67" s="28" t="s">
        <v>115</v>
      </c>
      <c r="G67" s="49" t="s">
        <v>440</v>
      </c>
      <c r="H67" s="49" t="s">
        <v>441</v>
      </c>
      <c r="I67" s="28" t="s">
        <v>442</v>
      </c>
      <c r="J67" s="28" t="s">
        <v>443</v>
      </c>
      <c r="K67" s="28" t="s">
        <v>444</v>
      </c>
      <c r="L67" s="28" t="s">
        <v>445</v>
      </c>
    </row>
    <row r="68" spans="1:12">
      <c r="A68" s="28" t="s">
        <v>448</v>
      </c>
      <c r="B68" s="28" t="s">
        <v>449</v>
      </c>
      <c r="C68" s="28" t="s">
        <v>438</v>
      </c>
      <c r="D68" s="47" t="s">
        <v>317</v>
      </c>
      <c r="E68" s="47" t="s">
        <v>439</v>
      </c>
      <c r="F68" s="28" t="s">
        <v>115</v>
      </c>
      <c r="G68" s="49" t="s">
        <v>440</v>
      </c>
      <c r="H68" s="49" t="s">
        <v>441</v>
      </c>
      <c r="I68" s="28" t="s">
        <v>442</v>
      </c>
      <c r="J68" s="28" t="s">
        <v>443</v>
      </c>
      <c r="K68" s="28" t="s">
        <v>444</v>
      </c>
      <c r="L68" s="28" t="s">
        <v>445</v>
      </c>
    </row>
    <row r="69" spans="1:12">
      <c r="A69" s="28" t="s">
        <v>450</v>
      </c>
      <c r="B69" s="28" t="s">
        <v>451</v>
      </c>
      <c r="C69" s="28" t="s">
        <v>219</v>
      </c>
      <c r="D69" s="47" t="s">
        <v>125</v>
      </c>
      <c r="E69" s="47" t="s">
        <v>227</v>
      </c>
      <c r="F69" s="28" t="s">
        <v>115</v>
      </c>
      <c r="G69" s="49" t="s">
        <v>452</v>
      </c>
      <c r="H69" s="49" t="s">
        <v>222</v>
      </c>
      <c r="I69" s="28" t="s">
        <v>453</v>
      </c>
      <c r="J69" s="28" t="s">
        <v>166</v>
      </c>
      <c r="K69" s="28" t="s">
        <v>395</v>
      </c>
      <c r="L69" s="28" t="s">
        <v>361</v>
      </c>
    </row>
    <row r="70" spans="1:12">
      <c r="A70" s="28" t="s">
        <v>454</v>
      </c>
      <c r="B70" s="28" t="s">
        <v>455</v>
      </c>
      <c r="C70" s="28" t="s">
        <v>219</v>
      </c>
      <c r="D70" s="47" t="s">
        <v>125</v>
      </c>
      <c r="E70" s="47" t="s">
        <v>227</v>
      </c>
      <c r="F70" s="28" t="s">
        <v>115</v>
      </c>
      <c r="G70" s="49" t="s">
        <v>456</v>
      </c>
      <c r="H70" s="49" t="s">
        <v>148</v>
      </c>
      <c r="I70" s="28" t="s">
        <v>457</v>
      </c>
      <c r="J70" s="28" t="s">
        <v>280</v>
      </c>
      <c r="K70" s="28" t="s">
        <v>458</v>
      </c>
      <c r="L70" s="28" t="s">
        <v>361</v>
      </c>
    </row>
    <row r="71" spans="1:12">
      <c r="A71" s="28" t="s">
        <v>459</v>
      </c>
      <c r="B71" s="28" t="s">
        <v>460</v>
      </c>
      <c r="C71" s="28" t="s">
        <v>219</v>
      </c>
      <c r="D71" s="47" t="s">
        <v>125</v>
      </c>
      <c r="E71" s="47" t="s">
        <v>227</v>
      </c>
      <c r="F71" s="28" t="s">
        <v>115</v>
      </c>
      <c r="G71" s="49" t="s">
        <v>452</v>
      </c>
      <c r="H71" s="49" t="s">
        <v>222</v>
      </c>
      <c r="I71" s="28" t="s">
        <v>453</v>
      </c>
      <c r="J71" s="28" t="s">
        <v>166</v>
      </c>
      <c r="K71" s="28" t="s">
        <v>395</v>
      </c>
      <c r="L71" s="28" t="s">
        <v>361</v>
      </c>
    </row>
    <row r="72" spans="1:12">
      <c r="A72" s="28" t="s">
        <v>461</v>
      </c>
      <c r="B72" s="28" t="s">
        <v>462</v>
      </c>
      <c r="C72" s="28" t="s">
        <v>235</v>
      </c>
      <c r="D72" s="47" t="s">
        <v>113</v>
      </c>
      <c r="E72" s="47" t="s">
        <v>252</v>
      </c>
      <c r="F72" s="28" t="s">
        <v>115</v>
      </c>
      <c r="G72" s="49" t="s">
        <v>463</v>
      </c>
      <c r="H72" s="49" t="s">
        <v>464</v>
      </c>
      <c r="I72" s="28" t="s">
        <v>264</v>
      </c>
      <c r="J72" s="28" t="s">
        <v>216</v>
      </c>
      <c r="K72" s="28" t="s">
        <v>465</v>
      </c>
      <c r="L72" s="28" t="s">
        <v>361</v>
      </c>
    </row>
    <row r="73" spans="1:12">
      <c r="A73" s="28" t="s">
        <v>466</v>
      </c>
      <c r="B73" s="28" t="s">
        <v>467</v>
      </c>
      <c r="C73" s="28" t="s">
        <v>235</v>
      </c>
      <c r="D73" s="47" t="s">
        <v>113</v>
      </c>
      <c r="E73" s="47" t="s">
        <v>252</v>
      </c>
      <c r="F73" s="28" t="s">
        <v>115</v>
      </c>
      <c r="G73" s="49" t="s">
        <v>463</v>
      </c>
      <c r="H73" s="49" t="s">
        <v>464</v>
      </c>
      <c r="I73" s="28" t="s">
        <v>264</v>
      </c>
      <c r="J73" s="28" t="s">
        <v>216</v>
      </c>
      <c r="K73" s="28" t="s">
        <v>465</v>
      </c>
      <c r="L73" s="28" t="s">
        <v>361</v>
      </c>
    </row>
    <row r="74" spans="1:12">
      <c r="A74" s="28" t="s">
        <v>468</v>
      </c>
      <c r="B74" s="28" t="s">
        <v>469</v>
      </c>
      <c r="C74" s="28" t="s">
        <v>235</v>
      </c>
      <c r="D74" s="47" t="s">
        <v>113</v>
      </c>
      <c r="E74" s="47" t="s">
        <v>252</v>
      </c>
      <c r="F74" s="28" t="s">
        <v>115</v>
      </c>
      <c r="G74" s="49" t="s">
        <v>463</v>
      </c>
      <c r="H74" s="49" t="s">
        <v>464</v>
      </c>
      <c r="I74" s="28" t="s">
        <v>264</v>
      </c>
      <c r="J74" s="28" t="s">
        <v>216</v>
      </c>
      <c r="K74" s="28" t="s">
        <v>465</v>
      </c>
      <c r="L74" s="28" t="s">
        <v>361</v>
      </c>
    </row>
    <row r="75" spans="1:12">
      <c r="A75" s="28" t="s">
        <v>470</v>
      </c>
      <c r="B75" s="28" t="s">
        <v>471</v>
      </c>
      <c r="C75" s="28" t="s">
        <v>235</v>
      </c>
      <c r="D75" s="47" t="s">
        <v>113</v>
      </c>
      <c r="E75" s="47" t="s">
        <v>305</v>
      </c>
      <c r="F75" s="28" t="s">
        <v>115</v>
      </c>
      <c r="G75" s="49" t="s">
        <v>472</v>
      </c>
      <c r="H75" s="49" t="s">
        <v>239</v>
      </c>
      <c r="I75" s="28" t="s">
        <v>146</v>
      </c>
      <c r="J75" s="28" t="s">
        <v>216</v>
      </c>
      <c r="K75" s="28" t="s">
        <v>465</v>
      </c>
      <c r="L75" s="28" t="s">
        <v>361</v>
      </c>
    </row>
    <row r="76" spans="1:12">
      <c r="A76" s="28" t="s">
        <v>473</v>
      </c>
      <c r="B76" s="28" t="s">
        <v>474</v>
      </c>
      <c r="C76" s="28" t="s">
        <v>235</v>
      </c>
      <c r="D76" s="47" t="s">
        <v>113</v>
      </c>
      <c r="E76" s="47" t="s">
        <v>305</v>
      </c>
      <c r="F76" s="28" t="s">
        <v>115</v>
      </c>
      <c r="G76" s="49" t="s">
        <v>472</v>
      </c>
      <c r="H76" s="49" t="s">
        <v>239</v>
      </c>
      <c r="I76" s="28" t="s">
        <v>146</v>
      </c>
      <c r="J76" s="28" t="s">
        <v>216</v>
      </c>
      <c r="K76" s="28" t="s">
        <v>465</v>
      </c>
      <c r="L76" s="28" t="s">
        <v>361</v>
      </c>
    </row>
    <row r="77" spans="1:12">
      <c r="A77" s="28" t="s">
        <v>475</v>
      </c>
      <c r="B77" s="28" t="s">
        <v>476</v>
      </c>
      <c r="C77" s="28" t="s">
        <v>235</v>
      </c>
      <c r="D77" s="47" t="s">
        <v>113</v>
      </c>
      <c r="E77" s="47" t="s">
        <v>305</v>
      </c>
      <c r="F77" s="28" t="s">
        <v>115</v>
      </c>
      <c r="G77" s="49" t="s">
        <v>472</v>
      </c>
      <c r="H77" s="49" t="s">
        <v>239</v>
      </c>
      <c r="I77" s="28" t="s">
        <v>146</v>
      </c>
      <c r="J77" s="28" t="s">
        <v>216</v>
      </c>
      <c r="K77" s="28" t="s">
        <v>465</v>
      </c>
      <c r="L77" s="28" t="s">
        <v>361</v>
      </c>
    </row>
    <row r="78" spans="1:12">
      <c r="A78" s="28" t="s">
        <v>477</v>
      </c>
      <c r="B78" s="28" t="s">
        <v>478</v>
      </c>
      <c r="C78" s="28" t="s">
        <v>187</v>
      </c>
      <c r="D78" s="47" t="s">
        <v>125</v>
      </c>
      <c r="E78" s="47" t="s">
        <v>136</v>
      </c>
      <c r="F78" s="28" t="s">
        <v>115</v>
      </c>
      <c r="G78" s="49" t="s">
        <v>479</v>
      </c>
      <c r="H78" s="49" t="s">
        <v>480</v>
      </c>
      <c r="I78" s="28" t="s">
        <v>215</v>
      </c>
      <c r="J78" s="28" t="s">
        <v>280</v>
      </c>
      <c r="K78" s="28" t="s">
        <v>481</v>
      </c>
      <c r="L78" s="28" t="s">
        <v>445</v>
      </c>
    </row>
    <row r="79" spans="1:12">
      <c r="A79" s="28" t="s">
        <v>482</v>
      </c>
      <c r="B79" s="28" t="s">
        <v>483</v>
      </c>
      <c r="C79" s="28" t="s">
        <v>187</v>
      </c>
      <c r="D79" s="47" t="s">
        <v>125</v>
      </c>
      <c r="E79" s="47" t="s">
        <v>136</v>
      </c>
      <c r="F79" s="28" t="s">
        <v>115</v>
      </c>
      <c r="G79" s="49" t="s">
        <v>479</v>
      </c>
      <c r="H79" s="49" t="s">
        <v>480</v>
      </c>
      <c r="I79" s="28" t="s">
        <v>215</v>
      </c>
      <c r="J79" s="28" t="s">
        <v>280</v>
      </c>
      <c r="K79" s="28" t="s">
        <v>481</v>
      </c>
      <c r="L79" s="28" t="s">
        <v>445</v>
      </c>
    </row>
    <row r="80" spans="1:12">
      <c r="A80" s="28" t="s">
        <v>484</v>
      </c>
      <c r="B80" s="28" t="s">
        <v>485</v>
      </c>
      <c r="C80" s="28" t="s">
        <v>187</v>
      </c>
      <c r="D80" s="47" t="s">
        <v>125</v>
      </c>
      <c r="E80" s="47" t="s">
        <v>136</v>
      </c>
      <c r="F80" s="28" t="s">
        <v>115</v>
      </c>
      <c r="G80" s="49" t="s">
        <v>479</v>
      </c>
      <c r="H80" s="49" t="s">
        <v>480</v>
      </c>
      <c r="I80" s="28" t="s">
        <v>215</v>
      </c>
      <c r="J80" s="28" t="s">
        <v>280</v>
      </c>
      <c r="K80" s="28" t="s">
        <v>481</v>
      </c>
      <c r="L80" s="28" t="s">
        <v>445</v>
      </c>
    </row>
    <row r="81" spans="1:12">
      <c r="A81" s="28" t="s">
        <v>486</v>
      </c>
      <c r="B81" s="28" t="s">
        <v>487</v>
      </c>
      <c r="C81" s="28" t="s">
        <v>275</v>
      </c>
      <c r="D81" s="47" t="s">
        <v>113</v>
      </c>
      <c r="E81" s="47" t="s">
        <v>152</v>
      </c>
      <c r="F81" s="28" t="s">
        <v>115</v>
      </c>
      <c r="G81" s="49" t="s">
        <v>488</v>
      </c>
      <c r="H81" s="49" t="s">
        <v>489</v>
      </c>
      <c r="I81" s="28" t="s">
        <v>457</v>
      </c>
      <c r="J81" s="28" t="s">
        <v>223</v>
      </c>
      <c r="K81" s="28" t="s">
        <v>249</v>
      </c>
      <c r="L81" s="28" t="s">
        <v>115</v>
      </c>
    </row>
    <row r="82" spans="1:12">
      <c r="A82" s="28" t="s">
        <v>490</v>
      </c>
      <c r="B82" s="28" t="s">
        <v>491</v>
      </c>
      <c r="C82" s="28" t="s">
        <v>275</v>
      </c>
      <c r="D82" s="47" t="s">
        <v>113</v>
      </c>
      <c r="E82" s="47" t="s">
        <v>152</v>
      </c>
      <c r="F82" s="28" t="s">
        <v>115</v>
      </c>
      <c r="G82" s="49" t="s">
        <v>488</v>
      </c>
      <c r="H82" s="49" t="s">
        <v>489</v>
      </c>
      <c r="I82" s="28" t="s">
        <v>457</v>
      </c>
      <c r="J82" s="28" t="s">
        <v>223</v>
      </c>
      <c r="K82" s="28" t="s">
        <v>249</v>
      </c>
      <c r="L82" s="28" t="s">
        <v>115</v>
      </c>
    </row>
    <row r="83" spans="1:12">
      <c r="A83" s="28" t="s">
        <v>492</v>
      </c>
      <c r="B83" s="28" t="s">
        <v>493</v>
      </c>
      <c r="C83" s="28" t="s">
        <v>275</v>
      </c>
      <c r="D83" s="47" t="s">
        <v>113</v>
      </c>
      <c r="E83" s="47" t="s">
        <v>152</v>
      </c>
      <c r="F83" s="28" t="s">
        <v>115</v>
      </c>
      <c r="G83" s="49" t="s">
        <v>488</v>
      </c>
      <c r="H83" s="49" t="s">
        <v>489</v>
      </c>
      <c r="I83" s="28" t="s">
        <v>457</v>
      </c>
      <c r="J83" s="28" t="s">
        <v>223</v>
      </c>
      <c r="K83" s="28" t="s">
        <v>249</v>
      </c>
      <c r="L83" s="28" t="s">
        <v>115</v>
      </c>
    </row>
    <row r="84" spans="1:12">
      <c r="A84" s="28" t="s">
        <v>494</v>
      </c>
      <c r="B84" s="28" t="s">
        <v>495</v>
      </c>
      <c r="C84" s="28" t="s">
        <v>496</v>
      </c>
      <c r="D84" s="47" t="s">
        <v>125</v>
      </c>
      <c r="E84" s="47" t="s">
        <v>314</v>
      </c>
      <c r="F84" s="28" t="s">
        <v>115</v>
      </c>
      <c r="G84" s="49" t="s">
        <v>497</v>
      </c>
      <c r="H84" s="49" t="s">
        <v>117</v>
      </c>
      <c r="I84" s="28" t="s">
        <v>215</v>
      </c>
      <c r="J84" s="28" t="s">
        <v>498</v>
      </c>
      <c r="K84" s="28" t="s">
        <v>499</v>
      </c>
      <c r="L84" s="28" t="s">
        <v>131</v>
      </c>
    </row>
    <row r="85" spans="1:12">
      <c r="A85" s="28" t="s">
        <v>500</v>
      </c>
      <c r="B85" s="28" t="s">
        <v>501</v>
      </c>
      <c r="C85" s="28" t="s">
        <v>112</v>
      </c>
      <c r="D85" s="47" t="s">
        <v>113</v>
      </c>
      <c r="E85" s="47" t="s">
        <v>502</v>
      </c>
      <c r="F85" s="28" t="s">
        <v>115</v>
      </c>
      <c r="G85" s="49" t="s">
        <v>116</v>
      </c>
      <c r="H85" s="49" t="s">
        <v>117</v>
      </c>
      <c r="I85" s="28" t="s">
        <v>118</v>
      </c>
      <c r="J85" s="28" t="s">
        <v>119</v>
      </c>
      <c r="K85" s="28" t="s">
        <v>120</v>
      </c>
      <c r="L85" s="28" t="s">
        <v>121</v>
      </c>
    </row>
    <row r="86" spans="1:12">
      <c r="A86" s="28" t="s">
        <v>503</v>
      </c>
      <c r="B86" s="28" t="s">
        <v>504</v>
      </c>
      <c r="C86" s="28" t="s">
        <v>112</v>
      </c>
      <c r="D86" s="47" t="s">
        <v>113</v>
      </c>
      <c r="E86" s="47" t="s">
        <v>126</v>
      </c>
      <c r="F86" s="28" t="s">
        <v>115</v>
      </c>
      <c r="G86" s="49" t="s">
        <v>505</v>
      </c>
      <c r="H86" s="49" t="s">
        <v>506</v>
      </c>
      <c r="I86" s="28" t="s">
        <v>453</v>
      </c>
      <c r="J86" s="28" t="s">
        <v>216</v>
      </c>
      <c r="K86" s="28" t="s">
        <v>507</v>
      </c>
      <c r="L86" s="28" t="s">
        <v>131</v>
      </c>
    </row>
    <row r="87" spans="1:12">
      <c r="A87" s="28" t="s">
        <v>508</v>
      </c>
      <c r="B87" s="28" t="s">
        <v>509</v>
      </c>
      <c r="C87" s="28" t="s">
        <v>275</v>
      </c>
      <c r="D87" s="47" t="s">
        <v>113</v>
      </c>
      <c r="E87" s="47" t="s">
        <v>227</v>
      </c>
      <c r="F87" s="28" t="s">
        <v>115</v>
      </c>
      <c r="G87" s="49" t="s">
        <v>510</v>
      </c>
      <c r="H87" s="49" t="s">
        <v>229</v>
      </c>
      <c r="I87" s="28" t="s">
        <v>345</v>
      </c>
      <c r="J87" s="28" t="s">
        <v>166</v>
      </c>
      <c r="K87" s="28" t="s">
        <v>511</v>
      </c>
      <c r="L87" s="28" t="s">
        <v>131</v>
      </c>
    </row>
    <row r="88" spans="1:12">
      <c r="A88" s="28" t="s">
        <v>512</v>
      </c>
      <c r="B88" s="28" t="s">
        <v>513</v>
      </c>
      <c r="C88" s="28" t="s">
        <v>275</v>
      </c>
      <c r="D88" s="47" t="s">
        <v>113</v>
      </c>
      <c r="E88" s="47" t="s">
        <v>227</v>
      </c>
      <c r="F88" s="28" t="s">
        <v>115</v>
      </c>
      <c r="G88" s="49" t="s">
        <v>514</v>
      </c>
      <c r="H88" s="49" t="s">
        <v>278</v>
      </c>
      <c r="I88" s="28" t="s">
        <v>215</v>
      </c>
      <c r="J88" s="28" t="s">
        <v>346</v>
      </c>
      <c r="K88" s="28" t="s">
        <v>515</v>
      </c>
      <c r="L88" s="28" t="s">
        <v>121</v>
      </c>
    </row>
    <row r="89" spans="1:12">
      <c r="A89" s="28" t="s">
        <v>516</v>
      </c>
      <c r="B89" s="28" t="s">
        <v>517</v>
      </c>
      <c r="C89" s="28" t="s">
        <v>388</v>
      </c>
      <c r="D89" s="47" t="s">
        <v>113</v>
      </c>
      <c r="E89" s="47" t="s">
        <v>227</v>
      </c>
      <c r="F89" s="28" t="s">
        <v>518</v>
      </c>
      <c r="G89" s="49" t="s">
        <v>519</v>
      </c>
      <c r="H89" s="49" t="s">
        <v>489</v>
      </c>
      <c r="I89" s="28" t="s">
        <v>264</v>
      </c>
      <c r="J89" s="28" t="s">
        <v>520</v>
      </c>
      <c r="K89" s="28" t="s">
        <v>216</v>
      </c>
      <c r="L89" s="28" t="s">
        <v>121</v>
      </c>
    </row>
    <row r="90" spans="1:12">
      <c r="A90" s="28" t="s">
        <v>521</v>
      </c>
      <c r="B90" s="28" t="s">
        <v>522</v>
      </c>
      <c r="C90" s="28" t="s">
        <v>523</v>
      </c>
      <c r="D90" s="47" t="s">
        <v>125</v>
      </c>
      <c r="E90" s="47" t="s">
        <v>502</v>
      </c>
      <c r="F90" s="28" t="s">
        <v>115</v>
      </c>
      <c r="G90" s="49" t="s">
        <v>524</v>
      </c>
      <c r="H90" s="49" t="s">
        <v>525</v>
      </c>
      <c r="I90" s="28" t="s">
        <v>264</v>
      </c>
      <c r="J90" s="28" t="s">
        <v>216</v>
      </c>
      <c r="K90" s="28" t="s">
        <v>526</v>
      </c>
      <c r="L90" s="28" t="s">
        <v>121</v>
      </c>
    </row>
    <row r="91" spans="1:12">
      <c r="A91" s="28" t="s">
        <v>527</v>
      </c>
      <c r="B91" s="28" t="s">
        <v>528</v>
      </c>
      <c r="C91" s="28" t="s">
        <v>523</v>
      </c>
      <c r="D91" s="47" t="s">
        <v>125</v>
      </c>
      <c r="E91" s="47" t="s">
        <v>144</v>
      </c>
      <c r="F91" s="28" t="s">
        <v>115</v>
      </c>
      <c r="G91" s="49" t="s">
        <v>529</v>
      </c>
      <c r="H91" s="49" t="s">
        <v>530</v>
      </c>
      <c r="I91" s="28" t="s">
        <v>531</v>
      </c>
      <c r="J91" s="28" t="s">
        <v>532</v>
      </c>
      <c r="K91" s="28" t="s">
        <v>533</v>
      </c>
      <c r="L91" s="28" t="s">
        <v>121</v>
      </c>
    </row>
    <row r="92" spans="1:12">
      <c r="A92" s="28" t="s">
        <v>534</v>
      </c>
      <c r="B92" s="28" t="s">
        <v>535</v>
      </c>
      <c r="C92" s="28" t="s">
        <v>536</v>
      </c>
      <c r="D92" s="47" t="s">
        <v>113</v>
      </c>
      <c r="E92" s="47" t="s">
        <v>126</v>
      </c>
      <c r="F92" s="28" t="s">
        <v>115</v>
      </c>
      <c r="G92" s="49" t="s">
        <v>537</v>
      </c>
      <c r="H92" s="49" t="s">
        <v>538</v>
      </c>
      <c r="I92" s="28" t="s">
        <v>345</v>
      </c>
      <c r="J92" s="28" t="s">
        <v>223</v>
      </c>
      <c r="K92" s="28" t="s">
        <v>190</v>
      </c>
      <c r="L92" s="28" t="s">
        <v>115</v>
      </c>
    </row>
    <row r="93" spans="1:12">
      <c r="A93" s="28" t="s">
        <v>539</v>
      </c>
      <c r="B93" s="28" t="s">
        <v>540</v>
      </c>
      <c r="C93" s="28" t="s">
        <v>112</v>
      </c>
      <c r="D93" s="47" t="s">
        <v>113</v>
      </c>
      <c r="E93" s="47" t="s">
        <v>114</v>
      </c>
      <c r="F93" s="28" t="s">
        <v>115</v>
      </c>
      <c r="G93" s="49" t="s">
        <v>541</v>
      </c>
      <c r="H93" s="49" t="s">
        <v>117</v>
      </c>
      <c r="I93" s="28" t="s">
        <v>146</v>
      </c>
      <c r="J93" s="28" t="s">
        <v>256</v>
      </c>
      <c r="K93" s="28" t="s">
        <v>489</v>
      </c>
      <c r="L93" s="28" t="s">
        <v>121</v>
      </c>
    </row>
    <row r="94" spans="1:12">
      <c r="A94" s="28" t="s">
        <v>542</v>
      </c>
      <c r="B94" s="28" t="s">
        <v>543</v>
      </c>
      <c r="C94" s="28" t="s">
        <v>112</v>
      </c>
      <c r="D94" s="47" t="s">
        <v>113</v>
      </c>
      <c r="E94" s="47" t="s">
        <v>544</v>
      </c>
      <c r="F94" s="28" t="s">
        <v>115</v>
      </c>
      <c r="G94" s="49" t="s">
        <v>545</v>
      </c>
      <c r="H94" s="49" t="s">
        <v>302</v>
      </c>
      <c r="I94" s="28" t="s">
        <v>118</v>
      </c>
      <c r="J94" s="28" t="s">
        <v>223</v>
      </c>
      <c r="K94" s="28" t="s">
        <v>288</v>
      </c>
      <c r="L94" s="28" t="s">
        <v>121</v>
      </c>
    </row>
    <row r="95" spans="1:12">
      <c r="A95" s="28" t="s">
        <v>546</v>
      </c>
      <c r="B95" s="28" t="s">
        <v>547</v>
      </c>
      <c r="C95" s="28" t="s">
        <v>219</v>
      </c>
      <c r="D95" s="47" t="s">
        <v>125</v>
      </c>
      <c r="E95" s="47" t="s">
        <v>314</v>
      </c>
      <c r="F95" s="28" t="s">
        <v>115</v>
      </c>
      <c r="G95" s="49" t="s">
        <v>452</v>
      </c>
      <c r="H95" s="49" t="s">
        <v>148</v>
      </c>
      <c r="I95" s="28" t="s">
        <v>453</v>
      </c>
      <c r="J95" s="28" t="s">
        <v>166</v>
      </c>
      <c r="K95" s="28" t="s">
        <v>395</v>
      </c>
      <c r="L95" s="28" t="s">
        <v>121</v>
      </c>
    </row>
    <row r="96" spans="1:12">
      <c r="A96" s="28" t="s">
        <v>548</v>
      </c>
      <c r="B96" s="28" t="s">
        <v>549</v>
      </c>
      <c r="C96" s="28" t="s">
        <v>550</v>
      </c>
      <c r="D96" s="47" t="s">
        <v>551</v>
      </c>
      <c r="E96" s="47" t="s">
        <v>152</v>
      </c>
      <c r="F96" s="28" t="s">
        <v>115</v>
      </c>
      <c r="G96" s="49" t="s">
        <v>552</v>
      </c>
      <c r="H96" s="49" t="s">
        <v>464</v>
      </c>
      <c r="I96" s="28" t="s">
        <v>345</v>
      </c>
      <c r="J96" s="28" t="s">
        <v>216</v>
      </c>
      <c r="K96" s="28" t="s">
        <v>553</v>
      </c>
      <c r="L96" s="28" t="s">
        <v>121</v>
      </c>
    </row>
    <row r="97" spans="1:12">
      <c r="A97" s="28" t="s">
        <v>554</v>
      </c>
      <c r="B97" s="28" t="s">
        <v>555</v>
      </c>
      <c r="C97" s="28" t="s">
        <v>219</v>
      </c>
      <c r="D97" s="47" t="s">
        <v>125</v>
      </c>
      <c r="E97" s="47" t="s">
        <v>152</v>
      </c>
      <c r="F97" s="28" t="s">
        <v>115</v>
      </c>
      <c r="G97" s="49" t="s">
        <v>556</v>
      </c>
      <c r="H97" s="49" t="s">
        <v>557</v>
      </c>
      <c r="I97" s="28" t="s">
        <v>558</v>
      </c>
      <c r="J97" s="28" t="s">
        <v>481</v>
      </c>
      <c r="K97" s="28" t="s">
        <v>125</v>
      </c>
      <c r="L97" s="28" t="s">
        <v>445</v>
      </c>
    </row>
    <row r="98" spans="1:12">
      <c r="A98" s="28" t="s">
        <v>559</v>
      </c>
      <c r="B98" s="28" t="s">
        <v>560</v>
      </c>
      <c r="C98" s="28" t="s">
        <v>275</v>
      </c>
      <c r="D98" s="47" t="s">
        <v>113</v>
      </c>
      <c r="E98" s="47" t="s">
        <v>227</v>
      </c>
      <c r="F98" s="28" t="s">
        <v>115</v>
      </c>
      <c r="G98" s="49" t="s">
        <v>561</v>
      </c>
      <c r="H98" s="49" t="s">
        <v>229</v>
      </c>
      <c r="I98" s="28" t="s">
        <v>345</v>
      </c>
      <c r="J98" s="28" t="s">
        <v>166</v>
      </c>
      <c r="K98" s="28" t="s">
        <v>216</v>
      </c>
      <c r="L98" s="28" t="s">
        <v>121</v>
      </c>
    </row>
    <row r="99" spans="1:12">
      <c r="A99" s="28" t="s">
        <v>562</v>
      </c>
      <c r="B99" s="28" t="s">
        <v>563</v>
      </c>
      <c r="C99" s="28" t="s">
        <v>438</v>
      </c>
      <c r="D99" s="47" t="s">
        <v>317</v>
      </c>
      <c r="E99" s="47" t="s">
        <v>439</v>
      </c>
      <c r="F99" s="28" t="s">
        <v>115</v>
      </c>
      <c r="G99" s="49" t="s">
        <v>564</v>
      </c>
      <c r="H99" s="49" t="s">
        <v>441</v>
      </c>
      <c r="I99" s="28" t="s">
        <v>565</v>
      </c>
      <c r="J99" s="28" t="s">
        <v>566</v>
      </c>
      <c r="K99" s="28" t="s">
        <v>567</v>
      </c>
      <c r="L99" s="28" t="s">
        <v>568</v>
      </c>
    </row>
    <row r="100" spans="1:12">
      <c r="A100" s="28" t="s">
        <v>569</v>
      </c>
      <c r="B100" s="28" t="s">
        <v>570</v>
      </c>
      <c r="C100" s="28" t="s">
        <v>112</v>
      </c>
      <c r="D100" s="47" t="s">
        <v>113</v>
      </c>
      <c r="E100" s="47" t="s">
        <v>502</v>
      </c>
      <c r="F100" s="28" t="s">
        <v>115</v>
      </c>
      <c r="G100" s="49" t="s">
        <v>571</v>
      </c>
      <c r="H100" s="49" t="s">
        <v>302</v>
      </c>
      <c r="I100" s="28" t="s">
        <v>146</v>
      </c>
      <c r="J100" s="28" t="s">
        <v>331</v>
      </c>
      <c r="K100" s="28" t="s">
        <v>208</v>
      </c>
      <c r="L100" s="28" t="s">
        <v>121</v>
      </c>
    </row>
    <row r="101" spans="1:12">
      <c r="A101" s="28" t="s">
        <v>572</v>
      </c>
      <c r="B101" s="28" t="s">
        <v>573</v>
      </c>
      <c r="C101" s="28" t="s">
        <v>112</v>
      </c>
      <c r="D101" s="47" t="s">
        <v>113</v>
      </c>
      <c r="E101" s="47" t="s">
        <v>114</v>
      </c>
      <c r="F101" s="28" t="s">
        <v>115</v>
      </c>
      <c r="G101" s="49" t="s">
        <v>574</v>
      </c>
      <c r="H101" s="49" t="s">
        <v>575</v>
      </c>
      <c r="I101" s="28" t="s">
        <v>457</v>
      </c>
      <c r="J101" s="28" t="s">
        <v>346</v>
      </c>
      <c r="K101" s="28" t="s">
        <v>480</v>
      </c>
      <c r="L101" s="28" t="s">
        <v>131</v>
      </c>
    </row>
    <row r="102" spans="1:12">
      <c r="A102" s="28" t="s">
        <v>576</v>
      </c>
      <c r="B102" s="28" t="s">
        <v>577</v>
      </c>
      <c r="C102" s="28" t="s">
        <v>275</v>
      </c>
      <c r="D102" s="47" t="s">
        <v>113</v>
      </c>
      <c r="E102" s="47" t="s">
        <v>227</v>
      </c>
      <c r="F102" s="28" t="s">
        <v>115</v>
      </c>
      <c r="G102" s="49" t="s">
        <v>578</v>
      </c>
      <c r="H102" s="49" t="s">
        <v>278</v>
      </c>
      <c r="I102" s="28" t="s">
        <v>264</v>
      </c>
      <c r="J102" s="28" t="s">
        <v>166</v>
      </c>
      <c r="K102" s="28" t="s">
        <v>481</v>
      </c>
      <c r="L102" s="28" t="s">
        <v>121</v>
      </c>
    </row>
    <row r="103" spans="1:12">
      <c r="A103" s="28" t="s">
        <v>579</v>
      </c>
      <c r="B103" s="28" t="s">
        <v>580</v>
      </c>
      <c r="C103" s="28" t="s">
        <v>581</v>
      </c>
      <c r="D103" s="47" t="s">
        <v>125</v>
      </c>
      <c r="E103" s="47" t="s">
        <v>502</v>
      </c>
      <c r="F103" s="28" t="s">
        <v>115</v>
      </c>
      <c r="G103" s="49" t="s">
        <v>582</v>
      </c>
      <c r="H103" s="49" t="s">
        <v>583</v>
      </c>
      <c r="I103" s="28" t="s">
        <v>326</v>
      </c>
      <c r="J103" s="28" t="s">
        <v>346</v>
      </c>
      <c r="K103" s="28" t="s">
        <v>584</v>
      </c>
      <c r="L103" s="28" t="s">
        <v>121</v>
      </c>
    </row>
    <row r="104" spans="1:12">
      <c r="A104" s="28" t="s">
        <v>585</v>
      </c>
      <c r="B104" s="28" t="s">
        <v>586</v>
      </c>
      <c r="C104" s="28" t="s">
        <v>112</v>
      </c>
      <c r="D104" s="47" t="s">
        <v>113</v>
      </c>
      <c r="E104" s="47" t="s">
        <v>144</v>
      </c>
      <c r="F104" s="28" t="s">
        <v>115</v>
      </c>
      <c r="G104" s="49" t="s">
        <v>587</v>
      </c>
      <c r="H104" s="49" t="s">
        <v>302</v>
      </c>
      <c r="I104" s="28" t="s">
        <v>146</v>
      </c>
      <c r="J104" s="28" t="s">
        <v>331</v>
      </c>
      <c r="K104" s="28" t="s">
        <v>113</v>
      </c>
      <c r="L104" s="28" t="s">
        <v>121</v>
      </c>
    </row>
    <row r="105" spans="1:12">
      <c r="A105" s="28" t="s">
        <v>588</v>
      </c>
      <c r="B105" s="28" t="s">
        <v>589</v>
      </c>
      <c r="C105" s="28" t="s">
        <v>496</v>
      </c>
      <c r="D105" s="47" t="s">
        <v>125</v>
      </c>
      <c r="E105" s="47" t="s">
        <v>144</v>
      </c>
      <c r="F105" s="28" t="s">
        <v>115</v>
      </c>
      <c r="G105" s="49" t="s">
        <v>590</v>
      </c>
      <c r="H105" s="49" t="s">
        <v>538</v>
      </c>
      <c r="I105" s="28" t="s">
        <v>591</v>
      </c>
      <c r="J105" s="28" t="s">
        <v>592</v>
      </c>
      <c r="K105" s="28" t="s">
        <v>360</v>
      </c>
      <c r="L105" s="28" t="s">
        <v>121</v>
      </c>
    </row>
    <row r="106" spans="1:12">
      <c r="A106" s="28" t="s">
        <v>593</v>
      </c>
      <c r="B106" s="28" t="s">
        <v>594</v>
      </c>
      <c r="C106" s="28" t="s">
        <v>219</v>
      </c>
      <c r="D106" s="47" t="s">
        <v>125</v>
      </c>
      <c r="E106" s="47" t="s">
        <v>314</v>
      </c>
      <c r="F106" s="28" t="s">
        <v>115</v>
      </c>
      <c r="G106" s="49" t="s">
        <v>595</v>
      </c>
      <c r="H106" s="49" t="s">
        <v>148</v>
      </c>
      <c r="I106" s="28" t="s">
        <v>264</v>
      </c>
      <c r="J106" s="28" t="s">
        <v>216</v>
      </c>
      <c r="K106" s="28" t="s">
        <v>596</v>
      </c>
      <c r="L106" s="28" t="s">
        <v>121</v>
      </c>
    </row>
    <row r="107" spans="1:12">
      <c r="A107" s="28" t="s">
        <v>597</v>
      </c>
      <c r="B107" s="28" t="s">
        <v>598</v>
      </c>
      <c r="C107" s="28" t="s">
        <v>219</v>
      </c>
      <c r="D107" s="47" t="s">
        <v>125</v>
      </c>
      <c r="E107" s="47" t="s">
        <v>152</v>
      </c>
      <c r="F107" s="28" t="s">
        <v>115</v>
      </c>
      <c r="G107" s="49" t="s">
        <v>556</v>
      </c>
      <c r="H107" s="49" t="s">
        <v>557</v>
      </c>
      <c r="I107" s="28" t="s">
        <v>558</v>
      </c>
      <c r="J107" s="28" t="s">
        <v>481</v>
      </c>
      <c r="K107" s="28" t="s">
        <v>125</v>
      </c>
      <c r="L107" s="28" t="s">
        <v>568</v>
      </c>
    </row>
    <row r="108" spans="1:12">
      <c r="A108" s="28" t="s">
        <v>599</v>
      </c>
      <c r="B108" s="28" t="s">
        <v>600</v>
      </c>
      <c r="C108" s="28" t="s">
        <v>112</v>
      </c>
      <c r="D108" s="47" t="s">
        <v>113</v>
      </c>
      <c r="E108" s="47" t="s">
        <v>114</v>
      </c>
      <c r="F108" s="28" t="s">
        <v>115</v>
      </c>
      <c r="G108" s="49" t="s">
        <v>601</v>
      </c>
      <c r="H108" s="49" t="s">
        <v>117</v>
      </c>
      <c r="I108" s="28" t="s">
        <v>215</v>
      </c>
      <c r="J108" s="28" t="s">
        <v>130</v>
      </c>
      <c r="K108" s="28" t="s">
        <v>208</v>
      </c>
      <c r="L108" s="28" t="s">
        <v>518</v>
      </c>
    </row>
    <row r="109" spans="1:12">
      <c r="A109" s="28" t="s">
        <v>602</v>
      </c>
      <c r="B109" s="28" t="s">
        <v>603</v>
      </c>
      <c r="C109" s="28" t="s">
        <v>235</v>
      </c>
      <c r="D109" s="47" t="s">
        <v>113</v>
      </c>
      <c r="E109" s="47" t="s">
        <v>252</v>
      </c>
      <c r="F109" s="28" t="s">
        <v>115</v>
      </c>
      <c r="G109" s="49" t="s">
        <v>604</v>
      </c>
      <c r="H109" s="49" t="s">
        <v>605</v>
      </c>
      <c r="I109" s="28" t="s">
        <v>326</v>
      </c>
      <c r="J109" s="28" t="s">
        <v>166</v>
      </c>
      <c r="K109" s="28" t="s">
        <v>347</v>
      </c>
      <c r="L109" s="28" t="s">
        <v>131</v>
      </c>
    </row>
    <row r="110" spans="1:12">
      <c r="A110" s="28" t="s">
        <v>606</v>
      </c>
      <c r="B110" s="28" t="s">
        <v>607</v>
      </c>
      <c r="C110" s="28" t="s">
        <v>235</v>
      </c>
      <c r="D110" s="47" t="s">
        <v>113</v>
      </c>
      <c r="E110" s="47" t="s">
        <v>252</v>
      </c>
      <c r="F110" s="28" t="s">
        <v>115</v>
      </c>
      <c r="G110" s="49" t="s">
        <v>604</v>
      </c>
      <c r="H110" s="49" t="s">
        <v>605</v>
      </c>
      <c r="I110" s="28" t="s">
        <v>326</v>
      </c>
      <c r="J110" s="28" t="s">
        <v>166</v>
      </c>
      <c r="K110" s="28" t="s">
        <v>347</v>
      </c>
      <c r="L110" s="28" t="s">
        <v>131</v>
      </c>
    </row>
    <row r="111" spans="1:12">
      <c r="A111" s="28" t="s">
        <v>608</v>
      </c>
      <c r="B111" s="28" t="s">
        <v>609</v>
      </c>
      <c r="C111" s="28" t="s">
        <v>275</v>
      </c>
      <c r="D111" s="47" t="s">
        <v>113</v>
      </c>
      <c r="E111" s="47" t="s">
        <v>227</v>
      </c>
      <c r="F111" s="28" t="s">
        <v>115</v>
      </c>
      <c r="G111" s="49" t="s">
        <v>610</v>
      </c>
      <c r="H111" s="49" t="s">
        <v>278</v>
      </c>
      <c r="I111" s="28" t="s">
        <v>264</v>
      </c>
      <c r="J111" s="28" t="s">
        <v>280</v>
      </c>
      <c r="K111" s="28" t="s">
        <v>611</v>
      </c>
      <c r="L111" s="28" t="s">
        <v>115</v>
      </c>
    </row>
    <row r="112" spans="1:12">
      <c r="A112" s="28" t="s">
        <v>612</v>
      </c>
      <c r="B112" s="28" t="s">
        <v>613</v>
      </c>
      <c r="C112" s="28" t="s">
        <v>235</v>
      </c>
      <c r="D112" s="47" t="s">
        <v>113</v>
      </c>
      <c r="E112" s="47" t="s">
        <v>314</v>
      </c>
      <c r="F112" s="28" t="s">
        <v>115</v>
      </c>
      <c r="G112" s="49" t="s">
        <v>614</v>
      </c>
      <c r="H112" s="49" t="s">
        <v>605</v>
      </c>
      <c r="I112" s="28" t="s">
        <v>215</v>
      </c>
      <c r="J112" s="28" t="s">
        <v>166</v>
      </c>
      <c r="K112" s="28" t="s">
        <v>257</v>
      </c>
      <c r="L112" s="28" t="s">
        <v>131</v>
      </c>
    </row>
    <row r="113" spans="1:12">
      <c r="A113" s="28" t="s">
        <v>615</v>
      </c>
      <c r="B113" s="28" t="s">
        <v>616</v>
      </c>
      <c r="C113" s="28" t="s">
        <v>235</v>
      </c>
      <c r="D113" s="47" t="s">
        <v>113</v>
      </c>
      <c r="E113" s="47" t="s">
        <v>314</v>
      </c>
      <c r="F113" s="28" t="s">
        <v>115</v>
      </c>
      <c r="G113" s="49" t="s">
        <v>614</v>
      </c>
      <c r="H113" s="49" t="s">
        <v>605</v>
      </c>
      <c r="I113" s="28" t="s">
        <v>215</v>
      </c>
      <c r="J113" s="28" t="s">
        <v>166</v>
      </c>
      <c r="K113" s="28" t="s">
        <v>257</v>
      </c>
      <c r="L113" s="28" t="s">
        <v>131</v>
      </c>
    </row>
    <row r="114" spans="1:12">
      <c r="A114" s="28" t="s">
        <v>617</v>
      </c>
      <c r="B114" s="28" t="s">
        <v>618</v>
      </c>
      <c r="C114" s="28" t="s">
        <v>260</v>
      </c>
      <c r="D114" s="47" t="s">
        <v>113</v>
      </c>
      <c r="E114" s="47" t="s">
        <v>213</v>
      </c>
      <c r="F114" s="28" t="s">
        <v>115</v>
      </c>
      <c r="G114" s="49" t="s">
        <v>619</v>
      </c>
      <c r="H114" s="49" t="s">
        <v>620</v>
      </c>
      <c r="I114" s="28" t="s">
        <v>264</v>
      </c>
      <c r="J114" s="28" t="s">
        <v>532</v>
      </c>
      <c r="K114" s="28" t="s">
        <v>281</v>
      </c>
      <c r="L114" s="28" t="s">
        <v>361</v>
      </c>
    </row>
    <row r="115" spans="1:12">
      <c r="A115" s="28" t="s">
        <v>621</v>
      </c>
      <c r="B115" s="28" t="s">
        <v>622</v>
      </c>
      <c r="C115" s="28" t="s">
        <v>260</v>
      </c>
      <c r="D115" s="47" t="s">
        <v>113</v>
      </c>
      <c r="E115" s="47" t="s">
        <v>213</v>
      </c>
      <c r="F115" s="28" t="s">
        <v>115</v>
      </c>
      <c r="G115" s="49" t="s">
        <v>619</v>
      </c>
      <c r="H115" s="49" t="s">
        <v>620</v>
      </c>
      <c r="I115" s="28" t="s">
        <v>264</v>
      </c>
      <c r="J115" s="28" t="s">
        <v>532</v>
      </c>
      <c r="K115" s="28" t="s">
        <v>281</v>
      </c>
      <c r="L115" s="28" t="s">
        <v>361</v>
      </c>
    </row>
    <row r="116" spans="1:12">
      <c r="A116" s="28" t="s">
        <v>623</v>
      </c>
      <c r="B116" s="28" t="s">
        <v>624</v>
      </c>
      <c r="C116" s="28" t="s">
        <v>625</v>
      </c>
      <c r="D116" s="47" t="s">
        <v>365</v>
      </c>
      <c r="E116" s="47" t="s">
        <v>365</v>
      </c>
      <c r="F116" s="28" t="s">
        <v>115</v>
      </c>
      <c r="G116" s="49" t="s">
        <v>626</v>
      </c>
      <c r="H116" s="49" t="s">
        <v>393</v>
      </c>
      <c r="I116" s="28" t="s">
        <v>558</v>
      </c>
      <c r="J116" s="28" t="s">
        <v>498</v>
      </c>
      <c r="K116" s="28" t="s">
        <v>627</v>
      </c>
      <c r="L116" s="28" t="s">
        <v>445</v>
      </c>
    </row>
    <row r="117" spans="1:12">
      <c r="A117" s="28" t="s">
        <v>628</v>
      </c>
      <c r="B117" s="28" t="s">
        <v>629</v>
      </c>
      <c r="C117" s="28" t="s">
        <v>235</v>
      </c>
      <c r="D117" s="47" t="s">
        <v>113</v>
      </c>
      <c r="E117" s="47" t="s">
        <v>126</v>
      </c>
      <c r="F117" s="28" t="s">
        <v>115</v>
      </c>
      <c r="G117" s="49" t="s">
        <v>630</v>
      </c>
      <c r="H117" s="49" t="s">
        <v>631</v>
      </c>
      <c r="I117" s="28" t="s">
        <v>215</v>
      </c>
      <c r="J117" s="28" t="s">
        <v>130</v>
      </c>
      <c r="K117" s="28" t="s">
        <v>632</v>
      </c>
      <c r="L117" s="28" t="s">
        <v>361</v>
      </c>
    </row>
    <row r="118" spans="1:12">
      <c r="A118" s="28" t="s">
        <v>633</v>
      </c>
      <c r="B118" s="28" t="s">
        <v>634</v>
      </c>
      <c r="C118" s="28" t="s">
        <v>635</v>
      </c>
      <c r="D118" s="47" t="s">
        <v>113</v>
      </c>
      <c r="E118" s="47" t="s">
        <v>126</v>
      </c>
      <c r="F118" s="28" t="s">
        <v>115</v>
      </c>
      <c r="G118" s="49" t="s">
        <v>636</v>
      </c>
      <c r="H118" s="49" t="s">
        <v>575</v>
      </c>
      <c r="I118" s="28" t="s">
        <v>264</v>
      </c>
      <c r="J118" s="28" t="s">
        <v>216</v>
      </c>
      <c r="K118" s="28" t="s">
        <v>360</v>
      </c>
      <c r="L118" s="28" t="s">
        <v>361</v>
      </c>
    </row>
    <row r="119" spans="1:12">
      <c r="A119" s="28" t="s">
        <v>637</v>
      </c>
      <c r="B119" s="28" t="s">
        <v>638</v>
      </c>
      <c r="C119" s="28" t="s">
        <v>635</v>
      </c>
      <c r="D119" s="47" t="s">
        <v>113</v>
      </c>
      <c r="E119" s="47" t="s">
        <v>126</v>
      </c>
      <c r="F119" s="28" t="s">
        <v>115</v>
      </c>
      <c r="G119" s="49" t="s">
        <v>639</v>
      </c>
      <c r="H119" s="49" t="s">
        <v>640</v>
      </c>
      <c r="I119" s="28" t="s">
        <v>326</v>
      </c>
      <c r="J119" s="28" t="s">
        <v>166</v>
      </c>
      <c r="K119" s="28" t="s">
        <v>237</v>
      </c>
      <c r="L119" s="28" t="s">
        <v>361</v>
      </c>
    </row>
    <row r="120" spans="1:12">
      <c r="A120" s="28" t="s">
        <v>641</v>
      </c>
      <c r="B120" s="28" t="s">
        <v>642</v>
      </c>
      <c r="C120" s="28" t="s">
        <v>275</v>
      </c>
      <c r="D120" s="47" t="s">
        <v>113</v>
      </c>
      <c r="E120" s="47" t="s">
        <v>227</v>
      </c>
      <c r="F120" s="28" t="s">
        <v>115</v>
      </c>
      <c r="G120" s="49" t="s">
        <v>643</v>
      </c>
      <c r="H120" s="49" t="s">
        <v>278</v>
      </c>
      <c r="I120" s="28" t="s">
        <v>644</v>
      </c>
      <c r="J120" s="28" t="s">
        <v>216</v>
      </c>
      <c r="K120" s="28" t="s">
        <v>147</v>
      </c>
      <c r="L120" s="28" t="s">
        <v>361</v>
      </c>
    </row>
    <row r="121" spans="1:12">
      <c r="A121" s="28" t="s">
        <v>645</v>
      </c>
      <c r="B121" s="28" t="s">
        <v>646</v>
      </c>
      <c r="C121" s="28" t="s">
        <v>275</v>
      </c>
      <c r="D121" s="47" t="s">
        <v>113</v>
      </c>
      <c r="E121" s="47" t="s">
        <v>227</v>
      </c>
      <c r="F121" s="28" t="s">
        <v>115</v>
      </c>
      <c r="G121" s="49" t="s">
        <v>610</v>
      </c>
      <c r="H121" s="49" t="s">
        <v>278</v>
      </c>
      <c r="I121" s="28" t="s">
        <v>264</v>
      </c>
      <c r="J121" s="28" t="s">
        <v>280</v>
      </c>
      <c r="K121" s="28" t="s">
        <v>611</v>
      </c>
      <c r="L121" s="28" t="s">
        <v>361</v>
      </c>
    </row>
    <row r="122" spans="1:12">
      <c r="A122" s="28" t="s">
        <v>647</v>
      </c>
      <c r="B122" s="28" t="s">
        <v>648</v>
      </c>
      <c r="C122" s="28" t="s">
        <v>649</v>
      </c>
      <c r="D122" s="47" t="s">
        <v>650</v>
      </c>
      <c r="E122" s="47" t="s">
        <v>227</v>
      </c>
      <c r="F122" s="28" t="s">
        <v>115</v>
      </c>
      <c r="G122" s="49" t="s">
        <v>651</v>
      </c>
      <c r="H122" s="49" t="s">
        <v>584</v>
      </c>
      <c r="I122" s="28" t="s">
        <v>264</v>
      </c>
      <c r="J122" s="28" t="s">
        <v>223</v>
      </c>
      <c r="K122" s="28" t="s">
        <v>652</v>
      </c>
      <c r="L122" s="28" t="s">
        <v>361</v>
      </c>
    </row>
    <row r="123" spans="1:12">
      <c r="A123" s="28" t="s">
        <v>653</v>
      </c>
      <c r="B123" s="28" t="s">
        <v>654</v>
      </c>
      <c r="C123" s="28" t="s">
        <v>364</v>
      </c>
      <c r="D123" s="47" t="s">
        <v>160</v>
      </c>
      <c r="E123" s="47" t="s">
        <v>188</v>
      </c>
      <c r="F123" s="28" t="s">
        <v>115</v>
      </c>
      <c r="G123" s="49" t="s">
        <v>270</v>
      </c>
      <c r="H123" s="49" t="s">
        <v>157</v>
      </c>
      <c r="I123" s="28" t="s">
        <v>271</v>
      </c>
      <c r="J123" s="28" t="s">
        <v>272</v>
      </c>
      <c r="K123" s="28" t="s">
        <v>208</v>
      </c>
      <c r="L123" s="28" t="s">
        <v>115</v>
      </c>
    </row>
    <row r="124" spans="1:12">
      <c r="A124" s="28" t="s">
        <v>655</v>
      </c>
      <c r="B124" s="28" t="s">
        <v>656</v>
      </c>
      <c r="C124" s="28" t="s">
        <v>657</v>
      </c>
      <c r="D124" s="47" t="s">
        <v>113</v>
      </c>
      <c r="E124" s="47" t="s">
        <v>544</v>
      </c>
      <c r="F124" s="28" t="s">
        <v>115</v>
      </c>
      <c r="G124" s="49" t="s">
        <v>658</v>
      </c>
      <c r="H124" s="49" t="s">
        <v>575</v>
      </c>
      <c r="I124" s="28" t="s">
        <v>457</v>
      </c>
      <c r="J124" s="28" t="s">
        <v>331</v>
      </c>
      <c r="K124" s="28" t="s">
        <v>360</v>
      </c>
      <c r="L124" s="28" t="s">
        <v>361</v>
      </c>
    </row>
    <row r="125" spans="1:12">
      <c r="A125" s="28" t="s">
        <v>659</v>
      </c>
      <c r="B125" s="28" t="s">
        <v>660</v>
      </c>
      <c r="C125" s="28" t="s">
        <v>661</v>
      </c>
      <c r="D125" s="47" t="s">
        <v>113</v>
      </c>
      <c r="E125" s="47" t="s">
        <v>126</v>
      </c>
      <c r="F125" s="28" t="s">
        <v>115</v>
      </c>
      <c r="G125" s="49" t="s">
        <v>662</v>
      </c>
      <c r="H125" s="49" t="s">
        <v>663</v>
      </c>
      <c r="I125" s="28" t="s">
        <v>264</v>
      </c>
      <c r="J125" s="28" t="s">
        <v>216</v>
      </c>
      <c r="K125" s="28" t="s">
        <v>664</v>
      </c>
      <c r="L125" s="28" t="s">
        <v>361</v>
      </c>
    </row>
    <row r="126" spans="1:12">
      <c r="A126" s="28" t="s">
        <v>665</v>
      </c>
      <c r="B126" s="28" t="s">
        <v>666</v>
      </c>
      <c r="C126" s="28" t="s">
        <v>275</v>
      </c>
      <c r="D126" s="47" t="s">
        <v>113</v>
      </c>
      <c r="E126" s="47" t="s">
        <v>227</v>
      </c>
      <c r="F126" s="28" t="s">
        <v>115</v>
      </c>
      <c r="G126" s="49" t="s">
        <v>667</v>
      </c>
      <c r="H126" s="49" t="s">
        <v>190</v>
      </c>
      <c r="I126" s="28" t="s">
        <v>215</v>
      </c>
      <c r="J126" s="28" t="s">
        <v>166</v>
      </c>
      <c r="K126" s="28" t="s">
        <v>193</v>
      </c>
      <c r="L126" s="28" t="s">
        <v>361</v>
      </c>
    </row>
    <row r="127" spans="1:12">
      <c r="A127" s="28" t="s">
        <v>668</v>
      </c>
      <c r="B127" s="28" t="s">
        <v>669</v>
      </c>
      <c r="C127" s="28" t="s">
        <v>670</v>
      </c>
      <c r="D127" s="47" t="s">
        <v>113</v>
      </c>
      <c r="E127" s="47" t="s">
        <v>126</v>
      </c>
      <c r="F127" s="28" t="s">
        <v>115</v>
      </c>
      <c r="G127" s="49" t="s">
        <v>671</v>
      </c>
      <c r="H127" s="49" t="s">
        <v>640</v>
      </c>
      <c r="I127" s="28" t="s">
        <v>215</v>
      </c>
      <c r="J127" s="28" t="s">
        <v>166</v>
      </c>
      <c r="K127" s="28" t="s">
        <v>672</v>
      </c>
      <c r="L127" s="28" t="s">
        <v>361</v>
      </c>
    </row>
    <row r="128" spans="1:12">
      <c r="A128" s="28" t="s">
        <v>673</v>
      </c>
      <c r="B128" s="28" t="s">
        <v>674</v>
      </c>
      <c r="C128" s="28" t="s">
        <v>670</v>
      </c>
      <c r="D128" s="47" t="s">
        <v>113</v>
      </c>
      <c r="E128" s="47" t="s">
        <v>126</v>
      </c>
      <c r="F128" s="28" t="s">
        <v>115</v>
      </c>
      <c r="G128" s="49" t="s">
        <v>671</v>
      </c>
      <c r="H128" s="49" t="s">
        <v>640</v>
      </c>
      <c r="I128" s="28" t="s">
        <v>215</v>
      </c>
      <c r="J128" s="28" t="s">
        <v>166</v>
      </c>
      <c r="K128" s="28" t="s">
        <v>672</v>
      </c>
      <c r="L128" s="28" t="s">
        <v>361</v>
      </c>
    </row>
    <row r="129" spans="1:12">
      <c r="A129" s="28" t="s">
        <v>675</v>
      </c>
      <c r="B129" s="28" t="s">
        <v>676</v>
      </c>
      <c r="C129" s="28" t="s">
        <v>670</v>
      </c>
      <c r="D129" s="47" t="s">
        <v>113</v>
      </c>
      <c r="E129" s="47" t="s">
        <v>126</v>
      </c>
      <c r="F129" s="28" t="s">
        <v>115</v>
      </c>
      <c r="G129" s="49" t="s">
        <v>671</v>
      </c>
      <c r="H129" s="49" t="s">
        <v>640</v>
      </c>
      <c r="I129" s="28" t="s">
        <v>215</v>
      </c>
      <c r="J129" s="28" t="s">
        <v>166</v>
      </c>
      <c r="K129" s="28" t="s">
        <v>672</v>
      </c>
      <c r="L129" s="28" t="s">
        <v>361</v>
      </c>
    </row>
    <row r="130" spans="1:12">
      <c r="A130" s="28" t="s">
        <v>677</v>
      </c>
      <c r="B130" s="28" t="s">
        <v>678</v>
      </c>
      <c r="C130" s="28" t="s">
        <v>260</v>
      </c>
      <c r="D130" s="47" t="s">
        <v>113</v>
      </c>
      <c r="E130" s="47" t="s">
        <v>284</v>
      </c>
      <c r="F130" s="28" t="s">
        <v>115</v>
      </c>
      <c r="G130" s="49" t="s">
        <v>679</v>
      </c>
      <c r="H130" s="49" t="s">
        <v>286</v>
      </c>
      <c r="I130" s="28" t="s">
        <v>680</v>
      </c>
      <c r="J130" s="28" t="s">
        <v>130</v>
      </c>
      <c r="K130" s="28" t="s">
        <v>681</v>
      </c>
      <c r="L130" s="28" t="s">
        <v>131</v>
      </c>
    </row>
    <row r="131" spans="1:12">
      <c r="A131" s="28" t="s">
        <v>682</v>
      </c>
      <c r="B131" s="28" t="s">
        <v>683</v>
      </c>
      <c r="C131" s="28" t="s">
        <v>635</v>
      </c>
      <c r="D131" s="47" t="s">
        <v>113</v>
      </c>
      <c r="E131" s="47" t="s">
        <v>126</v>
      </c>
      <c r="F131" s="28" t="s">
        <v>115</v>
      </c>
      <c r="G131" s="49" t="s">
        <v>684</v>
      </c>
      <c r="H131" s="49" t="s">
        <v>640</v>
      </c>
      <c r="I131" s="28" t="s">
        <v>345</v>
      </c>
      <c r="J131" s="28" t="s">
        <v>498</v>
      </c>
      <c r="K131" s="28" t="s">
        <v>278</v>
      </c>
      <c r="L131" s="28" t="s">
        <v>115</v>
      </c>
    </row>
    <row r="132" spans="1:12">
      <c r="A132" s="28" t="s">
        <v>685</v>
      </c>
      <c r="B132" s="28" t="s">
        <v>686</v>
      </c>
      <c r="C132" s="28" t="s">
        <v>661</v>
      </c>
      <c r="D132" s="47" t="s">
        <v>113</v>
      </c>
      <c r="E132" s="47" t="s">
        <v>126</v>
      </c>
      <c r="F132" s="28" t="s">
        <v>115</v>
      </c>
      <c r="G132" s="49" t="s">
        <v>687</v>
      </c>
      <c r="H132" s="49" t="s">
        <v>359</v>
      </c>
      <c r="I132" s="28" t="s">
        <v>531</v>
      </c>
      <c r="J132" s="28" t="s">
        <v>216</v>
      </c>
      <c r="K132" s="28" t="s">
        <v>688</v>
      </c>
      <c r="L132" s="28" t="s">
        <v>115</v>
      </c>
    </row>
    <row r="133" spans="1:12">
      <c r="A133" s="28" t="s">
        <v>689</v>
      </c>
      <c r="B133" s="28" t="s">
        <v>690</v>
      </c>
      <c r="C133" s="28" t="s">
        <v>691</v>
      </c>
      <c r="D133" s="47" t="s">
        <v>365</v>
      </c>
      <c r="E133" s="47" t="s">
        <v>136</v>
      </c>
      <c r="F133" s="28" t="s">
        <v>115</v>
      </c>
      <c r="G133" s="49" t="s">
        <v>692</v>
      </c>
      <c r="H133" s="49" t="s">
        <v>138</v>
      </c>
      <c r="I133" s="28" t="s">
        <v>693</v>
      </c>
      <c r="J133" s="28" t="s">
        <v>256</v>
      </c>
      <c r="K133" s="28" t="s">
        <v>347</v>
      </c>
      <c r="L133" s="28" t="s">
        <v>445</v>
      </c>
    </row>
    <row r="134" spans="1:12">
      <c r="A134" s="28" t="s">
        <v>694</v>
      </c>
      <c r="B134" s="28" t="s">
        <v>695</v>
      </c>
      <c r="C134" s="28" t="s">
        <v>235</v>
      </c>
      <c r="D134" s="47" t="s">
        <v>113</v>
      </c>
      <c r="E134" s="47" t="s">
        <v>305</v>
      </c>
      <c r="F134" s="28" t="s">
        <v>115</v>
      </c>
      <c r="G134" s="49" t="s">
        <v>696</v>
      </c>
      <c r="H134" s="49" t="s">
        <v>697</v>
      </c>
      <c r="I134" s="28" t="s">
        <v>698</v>
      </c>
      <c r="J134" s="28" t="s">
        <v>249</v>
      </c>
      <c r="K134" s="28" t="s">
        <v>347</v>
      </c>
      <c r="L134" s="28" t="s">
        <v>568</v>
      </c>
    </row>
    <row r="135" spans="1:12">
      <c r="A135" s="28" t="s">
        <v>699</v>
      </c>
      <c r="B135" s="28" t="s">
        <v>700</v>
      </c>
      <c r="C135" s="28" t="s">
        <v>701</v>
      </c>
      <c r="D135" s="47" t="s">
        <v>113</v>
      </c>
      <c r="E135" s="47" t="s">
        <v>114</v>
      </c>
      <c r="F135" s="28" t="s">
        <v>115</v>
      </c>
      <c r="G135" s="49" t="s">
        <v>702</v>
      </c>
      <c r="H135" s="49" t="s">
        <v>703</v>
      </c>
      <c r="I135" s="28" t="s">
        <v>531</v>
      </c>
      <c r="J135" s="28" t="s">
        <v>216</v>
      </c>
      <c r="K135" s="28" t="s">
        <v>688</v>
      </c>
      <c r="L135" s="28" t="s">
        <v>115</v>
      </c>
    </row>
    <row r="136" spans="1:12">
      <c r="A136" s="28" t="s">
        <v>704</v>
      </c>
      <c r="B136" s="28" t="s">
        <v>705</v>
      </c>
      <c r="C136" s="28" t="s">
        <v>706</v>
      </c>
      <c r="D136" s="47" t="s">
        <v>113</v>
      </c>
      <c r="E136" s="47" t="s">
        <v>544</v>
      </c>
      <c r="F136" s="28" t="s">
        <v>115</v>
      </c>
      <c r="G136" s="49" t="s">
        <v>687</v>
      </c>
      <c r="H136" s="49" t="s">
        <v>359</v>
      </c>
      <c r="I136" s="28" t="s">
        <v>531</v>
      </c>
      <c r="J136" s="28" t="s">
        <v>216</v>
      </c>
      <c r="K136" s="28" t="s">
        <v>688</v>
      </c>
      <c r="L136" s="28" t="s">
        <v>115</v>
      </c>
    </row>
    <row r="137" spans="1:12">
      <c r="A137" s="28" t="s">
        <v>707</v>
      </c>
      <c r="B137" s="28" t="s">
        <v>708</v>
      </c>
      <c r="C137" s="28" t="s">
        <v>706</v>
      </c>
      <c r="D137" s="47" t="s">
        <v>113</v>
      </c>
      <c r="E137" s="47" t="s">
        <v>544</v>
      </c>
      <c r="F137" s="28" t="s">
        <v>115</v>
      </c>
      <c r="G137" s="49" t="s">
        <v>687</v>
      </c>
      <c r="H137" s="49" t="s">
        <v>359</v>
      </c>
      <c r="I137" s="28" t="s">
        <v>531</v>
      </c>
      <c r="J137" s="28" t="s">
        <v>216</v>
      </c>
      <c r="K137" s="28" t="s">
        <v>688</v>
      </c>
      <c r="L137" s="28" t="s">
        <v>115</v>
      </c>
    </row>
    <row r="138" spans="1:12">
      <c r="A138" s="28" t="s">
        <v>709</v>
      </c>
      <c r="B138" s="28" t="s">
        <v>710</v>
      </c>
      <c r="C138" s="28" t="s">
        <v>235</v>
      </c>
      <c r="D138" s="47" t="s">
        <v>113</v>
      </c>
      <c r="E138" s="47" t="s">
        <v>252</v>
      </c>
      <c r="F138" s="28" t="s">
        <v>115</v>
      </c>
      <c r="G138" s="49" t="s">
        <v>711</v>
      </c>
      <c r="H138" s="49" t="s">
        <v>605</v>
      </c>
      <c r="I138" s="28" t="s">
        <v>264</v>
      </c>
      <c r="J138" s="28" t="s">
        <v>712</v>
      </c>
      <c r="K138" s="28" t="s">
        <v>257</v>
      </c>
      <c r="L138" s="28" t="s">
        <v>131</v>
      </c>
    </row>
    <row r="139" spans="1:12">
      <c r="A139" s="28" t="s">
        <v>713</v>
      </c>
      <c r="B139" s="28" t="s">
        <v>714</v>
      </c>
      <c r="C139" s="28" t="s">
        <v>715</v>
      </c>
      <c r="D139" s="47" t="s">
        <v>113</v>
      </c>
      <c r="E139" s="47" t="s">
        <v>305</v>
      </c>
      <c r="F139" s="28" t="s">
        <v>115</v>
      </c>
      <c r="G139" s="49" t="s">
        <v>716</v>
      </c>
      <c r="H139" s="49" t="s">
        <v>239</v>
      </c>
      <c r="I139" s="28" t="s">
        <v>680</v>
      </c>
      <c r="J139" s="28" t="s">
        <v>216</v>
      </c>
      <c r="K139" s="28" t="s">
        <v>717</v>
      </c>
      <c r="L139" s="28" t="s">
        <v>121</v>
      </c>
    </row>
    <row r="140" spans="1:12">
      <c r="A140" s="28" t="s">
        <v>718</v>
      </c>
      <c r="B140" s="28" t="s">
        <v>719</v>
      </c>
      <c r="C140" s="28" t="s">
        <v>720</v>
      </c>
      <c r="D140" s="47" t="s">
        <v>365</v>
      </c>
      <c r="E140" s="47" t="s">
        <v>439</v>
      </c>
      <c r="F140" s="28" t="s">
        <v>115</v>
      </c>
      <c r="G140" s="49" t="s">
        <v>721</v>
      </c>
      <c r="H140" s="49" t="s">
        <v>722</v>
      </c>
      <c r="I140" s="28" t="s">
        <v>723</v>
      </c>
      <c r="J140" s="28" t="s">
        <v>724</v>
      </c>
      <c r="K140" s="28" t="s">
        <v>725</v>
      </c>
      <c r="L140" s="28" t="s">
        <v>568</v>
      </c>
    </row>
    <row r="141" spans="1:12">
      <c r="A141" s="28" t="s">
        <v>726</v>
      </c>
      <c r="B141" s="28" t="s">
        <v>727</v>
      </c>
      <c r="C141" s="28" t="s">
        <v>728</v>
      </c>
      <c r="D141" s="47" t="s">
        <v>113</v>
      </c>
      <c r="E141" s="47" t="s">
        <v>357</v>
      </c>
      <c r="F141" s="28" t="s">
        <v>115</v>
      </c>
      <c r="G141" s="49" t="s">
        <v>729</v>
      </c>
      <c r="H141" s="49" t="s">
        <v>730</v>
      </c>
      <c r="I141" s="28" t="s">
        <v>498</v>
      </c>
      <c r="J141" s="28" t="s">
        <v>731</v>
      </c>
      <c r="K141" s="28" t="s">
        <v>732</v>
      </c>
      <c r="L141" s="28" t="s">
        <v>361</v>
      </c>
    </row>
    <row r="142" spans="1:12">
      <c r="A142" s="28" t="s">
        <v>733</v>
      </c>
      <c r="B142" s="28" t="s">
        <v>734</v>
      </c>
      <c r="C142" s="28" t="s">
        <v>163</v>
      </c>
      <c r="D142" s="47" t="s">
        <v>113</v>
      </c>
      <c r="E142" s="47" t="s">
        <v>357</v>
      </c>
      <c r="F142" s="28" t="s">
        <v>115</v>
      </c>
      <c r="G142" s="49" t="s">
        <v>735</v>
      </c>
      <c r="H142" s="49" t="s">
        <v>128</v>
      </c>
      <c r="I142" s="28" t="s">
        <v>130</v>
      </c>
      <c r="J142" s="28" t="s">
        <v>200</v>
      </c>
      <c r="K142" s="28" t="s">
        <v>736</v>
      </c>
      <c r="L142" s="28" t="s">
        <v>361</v>
      </c>
    </row>
    <row r="143" spans="1:12">
      <c r="A143" s="28" t="s">
        <v>737</v>
      </c>
      <c r="B143" s="28" t="s">
        <v>738</v>
      </c>
      <c r="C143" s="28" t="s">
        <v>739</v>
      </c>
      <c r="D143" s="47" t="s">
        <v>740</v>
      </c>
      <c r="E143" s="47" t="s">
        <v>317</v>
      </c>
      <c r="F143" s="28" t="s">
        <v>115</v>
      </c>
      <c r="G143" s="49" t="s">
        <v>741</v>
      </c>
      <c r="H143" s="49" t="s">
        <v>742</v>
      </c>
      <c r="I143" s="28" t="s">
        <v>743</v>
      </c>
      <c r="J143" s="28" t="s">
        <v>215</v>
      </c>
      <c r="K143" s="28" t="s">
        <v>744</v>
      </c>
      <c r="L143" s="28" t="s">
        <v>115</v>
      </c>
    </row>
    <row r="144" spans="1:12">
      <c r="A144" s="28" t="s">
        <v>745</v>
      </c>
      <c r="B144" s="28" t="s">
        <v>746</v>
      </c>
      <c r="C144" s="28" t="s">
        <v>275</v>
      </c>
      <c r="D144" s="47" t="s">
        <v>113</v>
      </c>
      <c r="E144" s="47" t="s">
        <v>227</v>
      </c>
      <c r="F144" s="28" t="s">
        <v>115</v>
      </c>
      <c r="G144" s="49" t="s">
        <v>610</v>
      </c>
      <c r="H144" s="49" t="s">
        <v>278</v>
      </c>
      <c r="I144" s="28" t="s">
        <v>264</v>
      </c>
      <c r="J144" s="28" t="s">
        <v>280</v>
      </c>
      <c r="K144" s="28" t="s">
        <v>611</v>
      </c>
      <c r="L144" s="28" t="s">
        <v>361</v>
      </c>
    </row>
    <row r="145" spans="1:12">
      <c r="A145" s="28" t="s">
        <v>747</v>
      </c>
      <c r="B145" s="28" t="s">
        <v>748</v>
      </c>
      <c r="C145" s="28" t="s">
        <v>649</v>
      </c>
      <c r="D145" s="47" t="s">
        <v>650</v>
      </c>
      <c r="E145" s="47" t="s">
        <v>227</v>
      </c>
      <c r="F145" s="28" t="s">
        <v>115</v>
      </c>
      <c r="G145" s="49" t="s">
        <v>749</v>
      </c>
      <c r="H145" s="49" t="s">
        <v>526</v>
      </c>
      <c r="I145" s="28" t="s">
        <v>146</v>
      </c>
      <c r="J145" s="28" t="s">
        <v>223</v>
      </c>
      <c r="K145" s="28" t="s">
        <v>750</v>
      </c>
      <c r="L145" s="28" t="s">
        <v>361</v>
      </c>
    </row>
    <row r="146" spans="1:12">
      <c r="A146" s="28" t="s">
        <v>751</v>
      </c>
      <c r="B146" s="28" t="s">
        <v>752</v>
      </c>
      <c r="C146" s="28" t="s">
        <v>364</v>
      </c>
      <c r="D146" s="47" t="s">
        <v>160</v>
      </c>
      <c r="E146" s="47" t="s">
        <v>365</v>
      </c>
      <c r="F146" s="28" t="s">
        <v>115</v>
      </c>
      <c r="G146" s="49" t="s">
        <v>270</v>
      </c>
      <c r="H146" s="49" t="s">
        <v>157</v>
      </c>
      <c r="I146" s="28" t="s">
        <v>271</v>
      </c>
      <c r="J146" s="28" t="s">
        <v>272</v>
      </c>
      <c r="K146" s="28" t="s">
        <v>208</v>
      </c>
      <c r="L146" s="28" t="s">
        <v>115</v>
      </c>
    </row>
    <row r="147" spans="1:12">
      <c r="A147" s="28" t="s">
        <v>753</v>
      </c>
      <c r="B147" s="28" t="s">
        <v>754</v>
      </c>
      <c r="C147" s="28" t="s">
        <v>755</v>
      </c>
      <c r="D147" s="47" t="s">
        <v>650</v>
      </c>
      <c r="E147" s="47" t="s">
        <v>152</v>
      </c>
      <c r="F147" s="28" t="s">
        <v>115</v>
      </c>
      <c r="G147" s="49" t="s">
        <v>756</v>
      </c>
      <c r="H147" s="49" t="s">
        <v>584</v>
      </c>
      <c r="I147" s="28" t="s">
        <v>457</v>
      </c>
      <c r="J147" s="28" t="s">
        <v>166</v>
      </c>
      <c r="K147" s="28" t="s">
        <v>156</v>
      </c>
      <c r="L147" s="28" t="s">
        <v>361</v>
      </c>
    </row>
    <row r="148" spans="1:12">
      <c r="A148" s="28" t="s">
        <v>757</v>
      </c>
      <c r="B148" s="28" t="s">
        <v>758</v>
      </c>
      <c r="C148" s="28" t="s">
        <v>759</v>
      </c>
      <c r="D148" s="47" t="s">
        <v>650</v>
      </c>
      <c r="E148" s="47" t="s">
        <v>152</v>
      </c>
      <c r="F148" s="28" t="s">
        <v>115</v>
      </c>
      <c r="G148" s="49" t="s">
        <v>760</v>
      </c>
      <c r="H148" s="49" t="s">
        <v>526</v>
      </c>
      <c r="I148" s="28" t="s">
        <v>761</v>
      </c>
      <c r="J148" s="28" t="s">
        <v>712</v>
      </c>
      <c r="K148" s="28" t="s">
        <v>200</v>
      </c>
      <c r="L148" s="28" t="s">
        <v>361</v>
      </c>
    </row>
    <row r="149" spans="1:12">
      <c r="A149" s="28" t="s">
        <v>762</v>
      </c>
      <c r="B149" s="28" t="s">
        <v>763</v>
      </c>
      <c r="C149" s="28" t="s">
        <v>764</v>
      </c>
      <c r="D149" s="47" t="s">
        <v>136</v>
      </c>
      <c r="E149" s="47" t="s">
        <v>740</v>
      </c>
      <c r="F149" s="28" t="s">
        <v>115</v>
      </c>
      <c r="G149" s="49" t="s">
        <v>765</v>
      </c>
      <c r="H149" s="49" t="s">
        <v>766</v>
      </c>
      <c r="I149" s="28" t="s">
        <v>767</v>
      </c>
      <c r="J149" s="28" t="s">
        <v>768</v>
      </c>
      <c r="K149" s="28" t="s">
        <v>769</v>
      </c>
      <c r="L149" s="28" t="s">
        <v>361</v>
      </c>
    </row>
    <row r="150" spans="1:12">
      <c r="A150" s="28" t="s">
        <v>770</v>
      </c>
      <c r="B150" s="28" t="s">
        <v>771</v>
      </c>
      <c r="C150" s="28" t="s">
        <v>755</v>
      </c>
      <c r="D150" s="47" t="s">
        <v>650</v>
      </c>
      <c r="E150" s="47" t="s">
        <v>115</v>
      </c>
      <c r="F150" s="28" t="s">
        <v>115</v>
      </c>
      <c r="G150" s="49" t="s">
        <v>772</v>
      </c>
      <c r="H150" s="49" t="s">
        <v>526</v>
      </c>
      <c r="I150" s="28" t="s">
        <v>115</v>
      </c>
      <c r="J150" s="28" t="s">
        <v>115</v>
      </c>
      <c r="K150" s="28" t="s">
        <v>115</v>
      </c>
      <c r="L150" s="28" t="s">
        <v>115</v>
      </c>
    </row>
    <row r="151" spans="1:12">
      <c r="A151" s="28" t="s">
        <v>773</v>
      </c>
      <c r="B151" s="28" t="s">
        <v>774</v>
      </c>
      <c r="C151" s="28" t="s">
        <v>764</v>
      </c>
      <c r="D151" s="47" t="s">
        <v>136</v>
      </c>
      <c r="E151" s="47" t="s">
        <v>136</v>
      </c>
      <c r="F151" s="28" t="s">
        <v>115</v>
      </c>
      <c r="G151" s="49" t="s">
        <v>765</v>
      </c>
      <c r="H151" s="49" t="s">
        <v>775</v>
      </c>
      <c r="I151" s="28" t="s">
        <v>767</v>
      </c>
      <c r="J151" s="28" t="s">
        <v>768</v>
      </c>
      <c r="K151" s="28" t="s">
        <v>769</v>
      </c>
      <c r="L151" s="28" t="s">
        <v>361</v>
      </c>
    </row>
    <row r="152" spans="1:12">
      <c r="A152" s="28" t="s">
        <v>776</v>
      </c>
      <c r="B152" s="28" t="s">
        <v>777</v>
      </c>
      <c r="C152" s="28" t="s">
        <v>778</v>
      </c>
      <c r="D152" s="47" t="s">
        <v>126</v>
      </c>
      <c r="E152" s="47" t="s">
        <v>551</v>
      </c>
      <c r="F152" s="28" t="s">
        <v>779</v>
      </c>
      <c r="G152" s="49" t="s">
        <v>780</v>
      </c>
      <c r="H152" s="49" t="s">
        <v>781</v>
      </c>
      <c r="I152" s="28" t="s">
        <v>782</v>
      </c>
      <c r="J152" s="28" t="s">
        <v>783</v>
      </c>
      <c r="K152" s="28" t="s">
        <v>278</v>
      </c>
      <c r="L152" s="28" t="s">
        <v>115</v>
      </c>
    </row>
    <row r="153" spans="1:12">
      <c r="A153" s="28" t="s">
        <v>784</v>
      </c>
      <c r="B153" s="28" t="s">
        <v>785</v>
      </c>
      <c r="C153" s="28" t="s">
        <v>778</v>
      </c>
      <c r="D153" s="47" t="s">
        <v>126</v>
      </c>
      <c r="E153" s="47" t="s">
        <v>551</v>
      </c>
      <c r="F153" s="28" t="s">
        <v>115</v>
      </c>
      <c r="G153" s="49" t="s">
        <v>780</v>
      </c>
      <c r="H153" s="49" t="s">
        <v>781</v>
      </c>
      <c r="I153" s="28" t="s">
        <v>782</v>
      </c>
      <c r="J153" s="28" t="s">
        <v>783</v>
      </c>
      <c r="K153" s="28" t="s">
        <v>278</v>
      </c>
      <c r="L153" s="28" t="s">
        <v>115</v>
      </c>
    </row>
    <row r="154" spans="1:12">
      <c r="A154" s="28" t="s">
        <v>786</v>
      </c>
      <c r="B154" s="28" t="s">
        <v>787</v>
      </c>
      <c r="C154" s="28" t="s">
        <v>778</v>
      </c>
      <c r="D154" s="47" t="s">
        <v>126</v>
      </c>
      <c r="E154" s="47" t="s">
        <v>551</v>
      </c>
      <c r="F154" s="28" t="s">
        <v>115</v>
      </c>
      <c r="G154" s="49" t="s">
        <v>780</v>
      </c>
      <c r="H154" s="49" t="s">
        <v>781</v>
      </c>
      <c r="I154" s="28" t="s">
        <v>782</v>
      </c>
      <c r="J154" s="28" t="s">
        <v>783</v>
      </c>
      <c r="K154" s="28" t="s">
        <v>278</v>
      </c>
      <c r="L154" s="28" t="s">
        <v>115</v>
      </c>
    </row>
    <row r="155" spans="1:12">
      <c r="A155" s="28" t="s">
        <v>788</v>
      </c>
      <c r="B155" s="28" t="s">
        <v>789</v>
      </c>
      <c r="C155" s="28" t="s">
        <v>790</v>
      </c>
      <c r="D155" s="47" t="s">
        <v>791</v>
      </c>
      <c r="E155" s="47" t="s">
        <v>551</v>
      </c>
      <c r="F155" s="28" t="s">
        <v>115</v>
      </c>
      <c r="G155" s="49" t="s">
        <v>792</v>
      </c>
      <c r="H155" s="49" t="s">
        <v>793</v>
      </c>
      <c r="I155" s="28" t="s">
        <v>551</v>
      </c>
      <c r="J155" s="28" t="s">
        <v>794</v>
      </c>
      <c r="K155" s="28" t="s">
        <v>783</v>
      </c>
      <c r="L155" s="28" t="s">
        <v>115</v>
      </c>
    </row>
    <row r="156" spans="1:12">
      <c r="A156" s="28" t="s">
        <v>795</v>
      </c>
      <c r="B156" s="28" t="s">
        <v>796</v>
      </c>
      <c r="C156" s="28" t="s">
        <v>797</v>
      </c>
      <c r="D156" s="47" t="s">
        <v>113</v>
      </c>
      <c r="E156" s="47" t="s">
        <v>798</v>
      </c>
      <c r="F156" s="28" t="s">
        <v>115</v>
      </c>
      <c r="G156" s="49" t="s">
        <v>799</v>
      </c>
      <c r="H156" s="49" t="s">
        <v>384</v>
      </c>
      <c r="I156" s="28" t="s">
        <v>481</v>
      </c>
      <c r="J156" s="28" t="s">
        <v>200</v>
      </c>
      <c r="K156" s="28" t="s">
        <v>800</v>
      </c>
      <c r="L156" s="28" t="s">
        <v>361</v>
      </c>
    </row>
    <row r="157" spans="1:12">
      <c r="A157" s="28" t="s">
        <v>801</v>
      </c>
      <c r="B157" s="28" t="s">
        <v>802</v>
      </c>
      <c r="C157" s="28" t="s">
        <v>235</v>
      </c>
      <c r="D157" s="47" t="s">
        <v>113</v>
      </c>
      <c r="E157" s="47" t="s">
        <v>252</v>
      </c>
      <c r="F157" s="28" t="s">
        <v>115</v>
      </c>
      <c r="G157" s="49" t="s">
        <v>803</v>
      </c>
      <c r="H157" s="49" t="s">
        <v>239</v>
      </c>
      <c r="I157" s="28" t="s">
        <v>215</v>
      </c>
      <c r="J157" s="28" t="s">
        <v>119</v>
      </c>
      <c r="K157" s="28" t="s">
        <v>804</v>
      </c>
      <c r="L157" s="28" t="s">
        <v>361</v>
      </c>
    </row>
    <row r="158" spans="1:12">
      <c r="A158" s="28" t="s">
        <v>805</v>
      </c>
      <c r="B158" s="28" t="s">
        <v>806</v>
      </c>
      <c r="C158" s="28" t="s">
        <v>268</v>
      </c>
      <c r="D158" s="47" t="s">
        <v>160</v>
      </c>
      <c r="E158" s="47" t="s">
        <v>188</v>
      </c>
      <c r="F158" s="28" t="s">
        <v>115</v>
      </c>
      <c r="G158" s="49" t="s">
        <v>270</v>
      </c>
      <c r="H158" s="49" t="s">
        <v>157</v>
      </c>
      <c r="I158" s="28" t="s">
        <v>271</v>
      </c>
      <c r="J158" s="28" t="s">
        <v>272</v>
      </c>
      <c r="K158" s="28" t="s">
        <v>208</v>
      </c>
      <c r="L158" s="28" t="s">
        <v>115</v>
      </c>
    </row>
    <row r="159" spans="1:12">
      <c r="A159" s="28" t="s">
        <v>807</v>
      </c>
      <c r="B159" s="28" t="s">
        <v>808</v>
      </c>
      <c r="C159" s="28" t="s">
        <v>275</v>
      </c>
      <c r="D159" s="47" t="s">
        <v>113</v>
      </c>
      <c r="E159" s="47" t="s">
        <v>257</v>
      </c>
      <c r="F159" s="28" t="s">
        <v>115</v>
      </c>
      <c r="G159" s="49" t="s">
        <v>809</v>
      </c>
      <c r="H159" s="49" t="s">
        <v>288</v>
      </c>
      <c r="I159" s="28" t="s">
        <v>810</v>
      </c>
      <c r="J159" s="28" t="s">
        <v>255</v>
      </c>
      <c r="K159" s="28" t="s">
        <v>811</v>
      </c>
      <c r="L159" s="28" t="s">
        <v>361</v>
      </c>
    </row>
    <row r="160" spans="1:12">
      <c r="A160" s="28" t="s">
        <v>812</v>
      </c>
      <c r="B160" s="28" t="s">
        <v>813</v>
      </c>
      <c r="C160" s="28" t="s">
        <v>364</v>
      </c>
      <c r="D160" s="47" t="s">
        <v>160</v>
      </c>
      <c r="E160" s="47" t="s">
        <v>188</v>
      </c>
      <c r="F160" s="28" t="s">
        <v>115</v>
      </c>
      <c r="G160" s="49" t="s">
        <v>270</v>
      </c>
      <c r="H160" s="49" t="s">
        <v>157</v>
      </c>
      <c r="I160" s="28" t="s">
        <v>271</v>
      </c>
      <c r="J160" s="28" t="s">
        <v>272</v>
      </c>
      <c r="K160" s="28" t="s">
        <v>208</v>
      </c>
      <c r="L160" s="28" t="s">
        <v>115</v>
      </c>
    </row>
    <row r="161" spans="1:12">
      <c r="A161" s="28" t="s">
        <v>814</v>
      </c>
      <c r="B161" s="28" t="s">
        <v>815</v>
      </c>
      <c r="C161" s="28" t="s">
        <v>816</v>
      </c>
      <c r="D161" s="47" t="s">
        <v>409</v>
      </c>
      <c r="E161" s="47" t="s">
        <v>188</v>
      </c>
      <c r="F161" s="28" t="s">
        <v>115</v>
      </c>
      <c r="G161" s="49" t="s">
        <v>817</v>
      </c>
      <c r="H161" s="49" t="s">
        <v>818</v>
      </c>
      <c r="I161" s="28" t="s">
        <v>819</v>
      </c>
      <c r="J161" s="28" t="s">
        <v>146</v>
      </c>
      <c r="K161" s="28" t="s">
        <v>820</v>
      </c>
      <c r="L161" s="28" t="s">
        <v>361</v>
      </c>
    </row>
    <row r="162" spans="1:12">
      <c r="A162" s="28" t="s">
        <v>821</v>
      </c>
      <c r="B162" s="28" t="s">
        <v>822</v>
      </c>
      <c r="C162" s="28" t="s">
        <v>797</v>
      </c>
      <c r="D162" s="47" t="s">
        <v>113</v>
      </c>
      <c r="E162" s="47" t="s">
        <v>823</v>
      </c>
      <c r="F162" s="28" t="s">
        <v>115</v>
      </c>
      <c r="G162" s="49" t="s">
        <v>824</v>
      </c>
      <c r="H162" s="49" t="s">
        <v>270</v>
      </c>
      <c r="I162" s="28" t="s">
        <v>130</v>
      </c>
      <c r="J162" s="28" t="s">
        <v>825</v>
      </c>
      <c r="K162" s="28" t="s">
        <v>826</v>
      </c>
      <c r="L162" s="28" t="s">
        <v>361</v>
      </c>
    </row>
    <row r="163" spans="1:12">
      <c r="A163" s="28" t="s">
        <v>827</v>
      </c>
      <c r="B163" s="28" t="s">
        <v>828</v>
      </c>
      <c r="C163" s="28" t="s">
        <v>235</v>
      </c>
      <c r="D163" s="47" t="s">
        <v>113</v>
      </c>
      <c r="E163" s="47" t="s">
        <v>829</v>
      </c>
      <c r="F163" s="28" t="s">
        <v>115</v>
      </c>
      <c r="G163" s="49" t="s">
        <v>830</v>
      </c>
      <c r="H163" s="49" t="s">
        <v>464</v>
      </c>
      <c r="I163" s="28" t="s">
        <v>146</v>
      </c>
      <c r="J163" s="28" t="s">
        <v>223</v>
      </c>
      <c r="K163" s="28" t="s">
        <v>507</v>
      </c>
      <c r="L163" s="28" t="s">
        <v>361</v>
      </c>
    </row>
    <row r="164" spans="1:12">
      <c r="A164" s="28" t="s">
        <v>831</v>
      </c>
      <c r="B164" s="28" t="s">
        <v>832</v>
      </c>
      <c r="C164" s="28" t="s">
        <v>275</v>
      </c>
      <c r="D164" s="47" t="s">
        <v>113</v>
      </c>
      <c r="E164" s="47" t="s">
        <v>227</v>
      </c>
      <c r="F164" s="28" t="s">
        <v>115</v>
      </c>
      <c r="G164" s="49" t="s">
        <v>610</v>
      </c>
      <c r="H164" s="49" t="s">
        <v>278</v>
      </c>
      <c r="I164" s="28" t="s">
        <v>264</v>
      </c>
      <c r="J164" s="28" t="s">
        <v>280</v>
      </c>
      <c r="K164" s="28" t="s">
        <v>611</v>
      </c>
      <c r="L164" s="28" t="s">
        <v>115</v>
      </c>
    </row>
    <row r="165" spans="1:12">
      <c r="A165" s="28" t="s">
        <v>833</v>
      </c>
      <c r="B165" s="28" t="s">
        <v>834</v>
      </c>
      <c r="C165" s="28" t="s">
        <v>275</v>
      </c>
      <c r="D165" s="47" t="s">
        <v>113</v>
      </c>
      <c r="E165" s="47" t="s">
        <v>227</v>
      </c>
      <c r="F165" s="28" t="s">
        <v>115</v>
      </c>
      <c r="G165" s="49" t="s">
        <v>610</v>
      </c>
      <c r="H165" s="49" t="s">
        <v>278</v>
      </c>
      <c r="I165" s="28" t="s">
        <v>264</v>
      </c>
      <c r="J165" s="28" t="s">
        <v>280</v>
      </c>
      <c r="K165" s="28" t="s">
        <v>611</v>
      </c>
      <c r="L165" s="28" t="s">
        <v>115</v>
      </c>
    </row>
    <row r="166" spans="1:12">
      <c r="A166" s="28" t="s">
        <v>835</v>
      </c>
      <c r="B166" s="28" t="s">
        <v>836</v>
      </c>
      <c r="C166" s="28" t="s">
        <v>235</v>
      </c>
      <c r="D166" s="47" t="s">
        <v>113</v>
      </c>
      <c r="E166" s="47" t="s">
        <v>837</v>
      </c>
      <c r="F166" s="28" t="s">
        <v>115</v>
      </c>
      <c r="G166" s="49" t="s">
        <v>838</v>
      </c>
      <c r="H166" s="49" t="s">
        <v>839</v>
      </c>
      <c r="I166" s="28" t="s">
        <v>309</v>
      </c>
      <c r="J166" s="28" t="s">
        <v>840</v>
      </c>
      <c r="K166" s="28" t="s">
        <v>465</v>
      </c>
      <c r="L166" s="28" t="s">
        <v>361</v>
      </c>
    </row>
    <row r="167" spans="1:12">
      <c r="A167" s="28" t="s">
        <v>841</v>
      </c>
      <c r="B167" s="28" t="s">
        <v>842</v>
      </c>
      <c r="C167" s="28" t="s">
        <v>843</v>
      </c>
      <c r="D167" s="47" t="s">
        <v>125</v>
      </c>
      <c r="E167" s="47" t="s">
        <v>152</v>
      </c>
      <c r="F167" s="28" t="s">
        <v>115</v>
      </c>
      <c r="G167" s="49" t="s">
        <v>160</v>
      </c>
      <c r="H167" s="49" t="s">
        <v>288</v>
      </c>
      <c r="I167" s="28" t="s">
        <v>115</v>
      </c>
      <c r="J167" s="28" t="s">
        <v>115</v>
      </c>
      <c r="K167" s="28" t="s">
        <v>115</v>
      </c>
      <c r="L167" s="28" t="s">
        <v>115</v>
      </c>
    </row>
    <row r="168" spans="1:12">
      <c r="A168" s="28" t="s">
        <v>844</v>
      </c>
      <c r="B168" s="28" t="s">
        <v>845</v>
      </c>
      <c r="C168" s="28" t="s">
        <v>843</v>
      </c>
      <c r="D168" s="47" t="s">
        <v>160</v>
      </c>
      <c r="E168" s="47" t="s">
        <v>365</v>
      </c>
      <c r="F168" s="28" t="s">
        <v>115</v>
      </c>
      <c r="G168" s="49" t="s">
        <v>384</v>
      </c>
      <c r="H168" s="49" t="s">
        <v>846</v>
      </c>
      <c r="I168" s="28" t="s">
        <v>115</v>
      </c>
      <c r="J168" s="28" t="s">
        <v>115</v>
      </c>
      <c r="K168" s="28" t="s">
        <v>115</v>
      </c>
      <c r="L168" s="28" t="s">
        <v>115</v>
      </c>
    </row>
    <row r="169" spans="1:12">
      <c r="A169" s="28" t="s">
        <v>847</v>
      </c>
      <c r="B169" s="28" t="s">
        <v>848</v>
      </c>
      <c r="C169" s="28" t="s">
        <v>849</v>
      </c>
      <c r="D169" s="47" t="s">
        <v>850</v>
      </c>
      <c r="E169" s="47" t="s">
        <v>851</v>
      </c>
      <c r="F169" s="28" t="s">
        <v>115</v>
      </c>
      <c r="G169" s="49" t="s">
        <v>384</v>
      </c>
      <c r="H169" s="49" t="s">
        <v>551</v>
      </c>
      <c r="I169" s="28" t="s">
        <v>115</v>
      </c>
      <c r="J169" s="28" t="s">
        <v>115</v>
      </c>
      <c r="K169" s="28" t="s">
        <v>115</v>
      </c>
      <c r="L169" s="28" t="s">
        <v>115</v>
      </c>
    </row>
    <row r="170" spans="1:12">
      <c r="A170" s="28" t="s">
        <v>852</v>
      </c>
      <c r="B170" s="28" t="s">
        <v>853</v>
      </c>
      <c r="C170" s="28" t="s">
        <v>843</v>
      </c>
      <c r="D170" s="47" t="s">
        <v>854</v>
      </c>
      <c r="E170" s="47" t="s">
        <v>365</v>
      </c>
      <c r="F170" s="28" t="s">
        <v>115</v>
      </c>
      <c r="G170" s="49" t="s">
        <v>766</v>
      </c>
      <c r="H170" s="49" t="s">
        <v>257</v>
      </c>
      <c r="I170" s="28" t="s">
        <v>115</v>
      </c>
      <c r="J170" s="28" t="s">
        <v>115</v>
      </c>
      <c r="K170" s="28" t="s">
        <v>115</v>
      </c>
      <c r="L170" s="28" t="s">
        <v>115</v>
      </c>
    </row>
    <row r="171" spans="1:12">
      <c r="A171" s="28" t="s">
        <v>855</v>
      </c>
      <c r="B171" s="28" t="s">
        <v>856</v>
      </c>
      <c r="C171" s="28" t="s">
        <v>235</v>
      </c>
      <c r="D171" s="47" t="s">
        <v>113</v>
      </c>
      <c r="E171" s="47" t="s">
        <v>252</v>
      </c>
      <c r="F171" s="28" t="s">
        <v>115</v>
      </c>
      <c r="G171" s="49" t="s">
        <v>857</v>
      </c>
      <c r="H171" s="49" t="s">
        <v>239</v>
      </c>
      <c r="I171" s="28" t="s">
        <v>345</v>
      </c>
      <c r="J171" s="28" t="s">
        <v>216</v>
      </c>
      <c r="K171" s="28" t="s">
        <v>237</v>
      </c>
      <c r="L171" s="28" t="s">
        <v>131</v>
      </c>
    </row>
    <row r="172" spans="1:12">
      <c r="A172" s="28" t="s">
        <v>858</v>
      </c>
      <c r="B172" s="28" t="s">
        <v>859</v>
      </c>
      <c r="C172" s="28" t="s">
        <v>843</v>
      </c>
      <c r="D172" s="47" t="s">
        <v>160</v>
      </c>
      <c r="E172" s="47" t="s">
        <v>860</v>
      </c>
      <c r="F172" s="28" t="s">
        <v>115</v>
      </c>
      <c r="G172" s="49" t="s">
        <v>160</v>
      </c>
      <c r="H172" s="49" t="s">
        <v>861</v>
      </c>
      <c r="I172" s="28" t="s">
        <v>115</v>
      </c>
      <c r="J172" s="28" t="s">
        <v>115</v>
      </c>
      <c r="K172" s="28" t="s">
        <v>115</v>
      </c>
      <c r="L172" s="28" t="s">
        <v>115</v>
      </c>
    </row>
    <row r="173" spans="1:12">
      <c r="A173" s="28" t="s">
        <v>862</v>
      </c>
      <c r="B173" s="28" t="s">
        <v>863</v>
      </c>
      <c r="C173" s="28" t="s">
        <v>864</v>
      </c>
      <c r="D173" s="47" t="s">
        <v>160</v>
      </c>
      <c r="E173" s="47" t="s">
        <v>152</v>
      </c>
      <c r="F173" s="28" t="s">
        <v>115</v>
      </c>
      <c r="G173" s="49" t="s">
        <v>865</v>
      </c>
      <c r="H173" s="49" t="s">
        <v>288</v>
      </c>
      <c r="I173" s="28" t="s">
        <v>115</v>
      </c>
      <c r="J173" s="28" t="s">
        <v>115</v>
      </c>
      <c r="K173" s="28" t="s">
        <v>115</v>
      </c>
      <c r="L173" s="28" t="s">
        <v>115</v>
      </c>
    </row>
    <row r="174" spans="1:12">
      <c r="A174" s="28" t="s">
        <v>866</v>
      </c>
      <c r="B174" s="28" t="s">
        <v>867</v>
      </c>
      <c r="C174" s="28" t="s">
        <v>868</v>
      </c>
      <c r="D174" s="47" t="s">
        <v>160</v>
      </c>
      <c r="E174" s="47" t="s">
        <v>152</v>
      </c>
      <c r="F174" s="28" t="s">
        <v>115</v>
      </c>
      <c r="G174" s="49" t="s">
        <v>160</v>
      </c>
      <c r="H174" s="49" t="s">
        <v>148</v>
      </c>
      <c r="I174" s="28" t="s">
        <v>115</v>
      </c>
      <c r="J174" s="28" t="s">
        <v>115</v>
      </c>
      <c r="K174" s="28" t="s">
        <v>115</v>
      </c>
      <c r="L174" s="28" t="s">
        <v>115</v>
      </c>
    </row>
    <row r="175" spans="1:12">
      <c r="A175" s="28" t="s">
        <v>869</v>
      </c>
      <c r="B175" s="28" t="s">
        <v>870</v>
      </c>
      <c r="C175" s="28" t="s">
        <v>364</v>
      </c>
      <c r="D175" s="47" t="s">
        <v>160</v>
      </c>
      <c r="E175" s="47" t="s">
        <v>115</v>
      </c>
      <c r="F175" s="28" t="s">
        <v>115</v>
      </c>
      <c r="G175" s="49" t="s">
        <v>270</v>
      </c>
      <c r="H175" s="49" t="s">
        <v>157</v>
      </c>
      <c r="I175" s="28" t="s">
        <v>115</v>
      </c>
      <c r="J175" s="28" t="s">
        <v>115</v>
      </c>
      <c r="K175" s="28" t="s">
        <v>115</v>
      </c>
      <c r="L175" s="28" t="s">
        <v>115</v>
      </c>
    </row>
    <row r="176" spans="1:12">
      <c r="A176" s="28" t="s">
        <v>871</v>
      </c>
      <c r="B176" s="28" t="s">
        <v>872</v>
      </c>
      <c r="C176" s="28" t="s">
        <v>873</v>
      </c>
      <c r="D176" s="47" t="s">
        <v>125</v>
      </c>
      <c r="E176" s="47" t="s">
        <v>837</v>
      </c>
      <c r="F176" s="28" t="s">
        <v>115</v>
      </c>
      <c r="G176" s="49" t="s">
        <v>874</v>
      </c>
      <c r="H176" s="49" t="s">
        <v>775</v>
      </c>
      <c r="I176" s="28" t="s">
        <v>782</v>
      </c>
      <c r="J176" s="28" t="s">
        <v>192</v>
      </c>
      <c r="K176" s="28" t="s">
        <v>875</v>
      </c>
      <c r="L176" s="28" t="s">
        <v>843</v>
      </c>
    </row>
    <row r="177" spans="1:12">
      <c r="A177" s="28" t="s">
        <v>876</v>
      </c>
      <c r="B177" s="28" t="s">
        <v>877</v>
      </c>
      <c r="C177" s="28" t="s">
        <v>873</v>
      </c>
      <c r="D177" s="47" t="s">
        <v>125</v>
      </c>
      <c r="E177" s="47" t="s">
        <v>837</v>
      </c>
      <c r="F177" s="28" t="s">
        <v>115</v>
      </c>
      <c r="G177" s="49" t="s">
        <v>874</v>
      </c>
      <c r="H177" s="49" t="s">
        <v>775</v>
      </c>
      <c r="I177" s="28" t="s">
        <v>782</v>
      </c>
      <c r="J177" s="28" t="s">
        <v>192</v>
      </c>
      <c r="K177" s="28" t="s">
        <v>875</v>
      </c>
      <c r="L177" s="28" t="s">
        <v>843</v>
      </c>
    </row>
    <row r="178" spans="1:12">
      <c r="A178" s="28" t="s">
        <v>878</v>
      </c>
      <c r="B178" s="28" t="s">
        <v>879</v>
      </c>
      <c r="C178" s="28" t="s">
        <v>880</v>
      </c>
      <c r="D178" s="47" t="s">
        <v>160</v>
      </c>
      <c r="E178" s="47" t="s">
        <v>650</v>
      </c>
      <c r="F178" s="28" t="s">
        <v>115</v>
      </c>
      <c r="G178" s="49" t="s">
        <v>881</v>
      </c>
      <c r="H178" s="49" t="s">
        <v>147</v>
      </c>
      <c r="I178" s="28" t="s">
        <v>115</v>
      </c>
      <c r="J178" s="28" t="s">
        <v>115</v>
      </c>
      <c r="K178" s="28" t="s">
        <v>115</v>
      </c>
      <c r="L178" s="28" t="s">
        <v>115</v>
      </c>
    </row>
    <row r="179" spans="1:12">
      <c r="A179" s="28" t="s">
        <v>882</v>
      </c>
      <c r="B179" s="28" t="s">
        <v>883</v>
      </c>
      <c r="C179" s="28" t="s">
        <v>275</v>
      </c>
      <c r="D179" s="47" t="s">
        <v>113</v>
      </c>
      <c r="E179" s="47" t="s">
        <v>115</v>
      </c>
      <c r="F179" s="28" t="s">
        <v>115</v>
      </c>
      <c r="G179" s="49" t="s">
        <v>160</v>
      </c>
      <c r="H179" s="49" t="s">
        <v>278</v>
      </c>
      <c r="I179" s="28" t="s">
        <v>264</v>
      </c>
      <c r="J179" s="28" t="s">
        <v>147</v>
      </c>
      <c r="K179" s="28" t="s">
        <v>223</v>
      </c>
      <c r="L179" s="28" t="s">
        <v>115</v>
      </c>
    </row>
    <row r="180" spans="1:12">
      <c r="A180" s="28" t="s">
        <v>884</v>
      </c>
      <c r="B180" s="28" t="s">
        <v>885</v>
      </c>
      <c r="C180" s="28" t="s">
        <v>886</v>
      </c>
      <c r="D180" s="47" t="s">
        <v>850</v>
      </c>
      <c r="E180" s="47" t="s">
        <v>269</v>
      </c>
      <c r="F180" s="28" t="s">
        <v>115</v>
      </c>
      <c r="G180" s="49" t="s">
        <v>887</v>
      </c>
      <c r="H180" s="49" t="s">
        <v>385</v>
      </c>
      <c r="I180" s="28" t="s">
        <v>810</v>
      </c>
      <c r="J180" s="28" t="s">
        <v>207</v>
      </c>
      <c r="K180" s="28" t="s">
        <v>200</v>
      </c>
      <c r="L180" s="28" t="s">
        <v>115</v>
      </c>
    </row>
    <row r="181" spans="1:12">
      <c r="A181" s="28" t="s">
        <v>888</v>
      </c>
      <c r="B181" s="28" t="s">
        <v>889</v>
      </c>
      <c r="C181" s="28" t="s">
        <v>886</v>
      </c>
      <c r="D181" s="47" t="s">
        <v>850</v>
      </c>
      <c r="E181" s="47" t="s">
        <v>269</v>
      </c>
      <c r="F181" s="28" t="s">
        <v>115</v>
      </c>
      <c r="G181" s="49" t="s">
        <v>887</v>
      </c>
      <c r="H181" s="49" t="s">
        <v>385</v>
      </c>
      <c r="I181" s="28" t="s">
        <v>810</v>
      </c>
      <c r="J181" s="28" t="s">
        <v>207</v>
      </c>
      <c r="K181" s="28" t="s">
        <v>200</v>
      </c>
      <c r="L181" s="28" t="s">
        <v>115</v>
      </c>
    </row>
    <row r="182" spans="1:12">
      <c r="A182" s="28" t="s">
        <v>890</v>
      </c>
      <c r="B182" s="28" t="s">
        <v>891</v>
      </c>
      <c r="C182" s="28" t="s">
        <v>892</v>
      </c>
      <c r="D182" s="47" t="s">
        <v>113</v>
      </c>
      <c r="E182" s="47" t="s">
        <v>893</v>
      </c>
      <c r="F182" s="28" t="s">
        <v>115</v>
      </c>
      <c r="G182" s="49" t="s">
        <v>894</v>
      </c>
      <c r="H182" s="49" t="s">
        <v>895</v>
      </c>
      <c r="I182" s="28" t="s">
        <v>249</v>
      </c>
      <c r="J182" s="28" t="s">
        <v>896</v>
      </c>
      <c r="K182" s="28" t="s">
        <v>650</v>
      </c>
      <c r="L182" s="28" t="s">
        <v>361</v>
      </c>
    </row>
    <row r="183" spans="1:12">
      <c r="A183" s="28" t="s">
        <v>897</v>
      </c>
      <c r="B183" s="28" t="s">
        <v>898</v>
      </c>
      <c r="C183" s="28" t="s">
        <v>797</v>
      </c>
      <c r="D183" s="47" t="s">
        <v>113</v>
      </c>
      <c r="E183" s="47" t="s">
        <v>893</v>
      </c>
      <c r="F183" s="28" t="s">
        <v>115</v>
      </c>
      <c r="G183" s="49" t="s">
        <v>899</v>
      </c>
      <c r="H183" s="49" t="s">
        <v>384</v>
      </c>
      <c r="I183" s="28" t="s">
        <v>498</v>
      </c>
      <c r="J183" s="28" t="s">
        <v>200</v>
      </c>
      <c r="K183" s="28" t="s">
        <v>344</v>
      </c>
      <c r="L183" s="28" t="s">
        <v>361</v>
      </c>
    </row>
    <row r="184" spans="1:12">
      <c r="A184" s="28" t="s">
        <v>900</v>
      </c>
      <c r="B184" s="28" t="s">
        <v>901</v>
      </c>
      <c r="C184" s="28" t="s">
        <v>902</v>
      </c>
      <c r="D184" s="47" t="s">
        <v>125</v>
      </c>
      <c r="E184" s="47" t="s">
        <v>126</v>
      </c>
      <c r="F184" s="28" t="s">
        <v>115</v>
      </c>
      <c r="G184" s="49" t="s">
        <v>127</v>
      </c>
      <c r="H184" s="49" t="s">
        <v>903</v>
      </c>
      <c r="I184" s="28" t="s">
        <v>129</v>
      </c>
      <c r="J184" s="28" t="s">
        <v>130</v>
      </c>
      <c r="K184" s="28" t="s">
        <v>120</v>
      </c>
      <c r="L184" s="28" t="s">
        <v>361</v>
      </c>
    </row>
    <row r="185" spans="1:12">
      <c r="A185" s="28" t="s">
        <v>904</v>
      </c>
      <c r="B185" s="28" t="s">
        <v>905</v>
      </c>
      <c r="C185" s="28" t="s">
        <v>124</v>
      </c>
      <c r="D185" s="47" t="s">
        <v>125</v>
      </c>
      <c r="E185" s="47" t="s">
        <v>126</v>
      </c>
      <c r="F185" s="28" t="s">
        <v>115</v>
      </c>
      <c r="G185" s="49" t="s">
        <v>906</v>
      </c>
      <c r="H185" s="49" t="s">
        <v>730</v>
      </c>
      <c r="I185" s="28" t="s">
        <v>907</v>
      </c>
      <c r="J185" s="28" t="s">
        <v>498</v>
      </c>
      <c r="K185" s="28" t="s">
        <v>908</v>
      </c>
      <c r="L185" s="28" t="s">
        <v>361</v>
      </c>
    </row>
    <row r="186" spans="1:12">
      <c r="A186" s="28" t="s">
        <v>909</v>
      </c>
      <c r="B186" s="28" t="s">
        <v>910</v>
      </c>
      <c r="C186" s="28" t="s">
        <v>892</v>
      </c>
      <c r="D186" s="47" t="s">
        <v>113</v>
      </c>
      <c r="E186" s="47" t="s">
        <v>261</v>
      </c>
      <c r="F186" s="28" t="s">
        <v>115</v>
      </c>
      <c r="G186" s="49" t="s">
        <v>911</v>
      </c>
      <c r="H186" s="49" t="s">
        <v>895</v>
      </c>
      <c r="I186" s="28" t="s">
        <v>256</v>
      </c>
      <c r="J186" s="28" t="s">
        <v>200</v>
      </c>
      <c r="K186" s="28" t="s">
        <v>148</v>
      </c>
      <c r="L186" s="28" t="s">
        <v>361</v>
      </c>
    </row>
    <row r="187" spans="1:12">
      <c r="A187" s="28" t="s">
        <v>912</v>
      </c>
      <c r="B187" s="28" t="s">
        <v>913</v>
      </c>
      <c r="C187" s="28" t="s">
        <v>892</v>
      </c>
      <c r="D187" s="47" t="s">
        <v>113</v>
      </c>
      <c r="E187" s="47" t="s">
        <v>370</v>
      </c>
      <c r="F187" s="28" t="s">
        <v>115</v>
      </c>
      <c r="G187" s="49" t="s">
        <v>914</v>
      </c>
      <c r="H187" s="49" t="s">
        <v>895</v>
      </c>
      <c r="I187" s="28" t="s">
        <v>331</v>
      </c>
      <c r="J187" s="28" t="s">
        <v>825</v>
      </c>
      <c r="K187" s="28" t="s">
        <v>650</v>
      </c>
      <c r="L187" s="28" t="s">
        <v>361</v>
      </c>
    </row>
    <row r="188" spans="1:12">
      <c r="A188" s="28" t="s">
        <v>915</v>
      </c>
      <c r="B188" s="28" t="s">
        <v>916</v>
      </c>
      <c r="C188" s="28" t="s">
        <v>649</v>
      </c>
      <c r="D188" s="47" t="s">
        <v>650</v>
      </c>
      <c r="E188" s="47" t="s">
        <v>115</v>
      </c>
      <c r="F188" s="28" t="s">
        <v>115</v>
      </c>
      <c r="G188" s="49" t="s">
        <v>917</v>
      </c>
      <c r="H188" s="49" t="s">
        <v>526</v>
      </c>
      <c r="I188" s="28" t="s">
        <v>345</v>
      </c>
      <c r="J188" s="28" t="s">
        <v>130</v>
      </c>
      <c r="K188" s="28" t="s">
        <v>257</v>
      </c>
      <c r="L188" s="28" t="s">
        <v>115</v>
      </c>
    </row>
    <row r="189" spans="1:12">
      <c r="A189" s="28" t="s">
        <v>918</v>
      </c>
      <c r="B189" s="28" t="s">
        <v>123</v>
      </c>
      <c r="C189" s="28" t="s">
        <v>124</v>
      </c>
      <c r="D189" s="47" t="s">
        <v>125</v>
      </c>
      <c r="E189" s="47" t="s">
        <v>126</v>
      </c>
      <c r="F189" s="28" t="s">
        <v>115</v>
      </c>
      <c r="G189" s="49" t="s">
        <v>127</v>
      </c>
      <c r="H189" s="49" t="s">
        <v>128</v>
      </c>
      <c r="I189" s="28" t="s">
        <v>129</v>
      </c>
      <c r="J189" s="28" t="s">
        <v>130</v>
      </c>
      <c r="K189" s="28" t="s">
        <v>120</v>
      </c>
      <c r="L189" s="28" t="s">
        <v>131</v>
      </c>
    </row>
    <row r="190" spans="1:12">
      <c r="A190" s="28" t="s">
        <v>919</v>
      </c>
      <c r="B190" s="28" t="s">
        <v>133</v>
      </c>
      <c r="C190" s="28" t="s">
        <v>134</v>
      </c>
      <c r="D190" s="47" t="s">
        <v>135</v>
      </c>
      <c r="E190" s="47" t="s">
        <v>136</v>
      </c>
      <c r="F190" s="28" t="s">
        <v>115</v>
      </c>
      <c r="G190" s="49" t="s">
        <v>137</v>
      </c>
      <c r="H190" s="49" t="s">
        <v>138</v>
      </c>
      <c r="I190" s="28" t="s">
        <v>139</v>
      </c>
      <c r="J190" s="28" t="s">
        <v>140</v>
      </c>
      <c r="K190" s="28" t="s">
        <v>141</v>
      </c>
      <c r="L190" s="28" t="s">
        <v>131</v>
      </c>
    </row>
    <row r="191" spans="1:12">
      <c r="A191" s="28" t="s">
        <v>920</v>
      </c>
      <c r="B191" s="28" t="s">
        <v>921</v>
      </c>
      <c r="C191" s="28" t="s">
        <v>124</v>
      </c>
      <c r="D191" s="47" t="s">
        <v>125</v>
      </c>
      <c r="E191" s="47" t="s">
        <v>126</v>
      </c>
      <c r="F191" s="28" t="s">
        <v>115</v>
      </c>
      <c r="G191" s="49" t="s">
        <v>792</v>
      </c>
      <c r="H191" s="49" t="s">
        <v>128</v>
      </c>
      <c r="I191" s="28" t="s">
        <v>129</v>
      </c>
      <c r="J191" s="28" t="s">
        <v>498</v>
      </c>
      <c r="K191" s="28" t="s">
        <v>908</v>
      </c>
      <c r="L191" s="28" t="s">
        <v>115</v>
      </c>
    </row>
    <row r="192" spans="1:12">
      <c r="A192" s="28" t="s">
        <v>922</v>
      </c>
      <c r="B192" s="28" t="s">
        <v>923</v>
      </c>
      <c r="C192" s="28" t="s">
        <v>924</v>
      </c>
      <c r="D192" s="47" t="s">
        <v>925</v>
      </c>
      <c r="E192" s="47" t="s">
        <v>113</v>
      </c>
      <c r="F192" s="28" t="s">
        <v>115</v>
      </c>
      <c r="G192" s="49" t="s">
        <v>926</v>
      </c>
      <c r="H192" s="49" t="s">
        <v>400</v>
      </c>
      <c r="I192" s="28" t="s">
        <v>115</v>
      </c>
      <c r="J192" s="28" t="s">
        <v>115</v>
      </c>
      <c r="K192" s="28" t="s">
        <v>115</v>
      </c>
      <c r="L192" s="28" t="s">
        <v>115</v>
      </c>
    </row>
    <row r="193" spans="1:12">
      <c r="A193" s="28" t="s">
        <v>927</v>
      </c>
      <c r="B193" s="28" t="s">
        <v>928</v>
      </c>
      <c r="C193" s="28" t="s">
        <v>929</v>
      </c>
      <c r="D193" s="47" t="s">
        <v>113</v>
      </c>
      <c r="E193" s="47" t="s">
        <v>502</v>
      </c>
      <c r="F193" s="28" t="s">
        <v>115</v>
      </c>
      <c r="G193" s="49" t="s">
        <v>930</v>
      </c>
      <c r="H193" s="49" t="s">
        <v>931</v>
      </c>
      <c r="I193" s="28" t="s">
        <v>269</v>
      </c>
      <c r="J193" s="28" t="s">
        <v>141</v>
      </c>
      <c r="K193" s="28" t="s">
        <v>932</v>
      </c>
      <c r="L193" s="28" t="s">
        <v>121</v>
      </c>
    </row>
    <row r="194" spans="1:12">
      <c r="A194" s="28" t="s">
        <v>933</v>
      </c>
      <c r="B194" s="28" t="s">
        <v>934</v>
      </c>
      <c r="C194" s="28" t="s">
        <v>935</v>
      </c>
      <c r="D194" s="47" t="s">
        <v>113</v>
      </c>
      <c r="E194" s="47" t="s">
        <v>175</v>
      </c>
      <c r="F194" s="28" t="s">
        <v>115</v>
      </c>
      <c r="G194" s="49" t="s">
        <v>936</v>
      </c>
      <c r="H194" s="49" t="s">
        <v>148</v>
      </c>
      <c r="I194" s="28" t="s">
        <v>611</v>
      </c>
      <c r="J194" s="28" t="s">
        <v>180</v>
      </c>
      <c r="K194" s="28" t="s">
        <v>216</v>
      </c>
      <c r="L194" s="28" t="s">
        <v>121</v>
      </c>
    </row>
    <row r="195" spans="1:12">
      <c r="A195" s="28" t="s">
        <v>937</v>
      </c>
      <c r="B195" s="28" t="s">
        <v>938</v>
      </c>
      <c r="C195" s="28" t="s">
        <v>935</v>
      </c>
      <c r="D195" s="47" t="s">
        <v>113</v>
      </c>
      <c r="E195" s="47" t="s">
        <v>175</v>
      </c>
      <c r="F195" s="28" t="s">
        <v>115</v>
      </c>
      <c r="G195" s="49" t="s">
        <v>939</v>
      </c>
      <c r="H195" s="49" t="s">
        <v>148</v>
      </c>
      <c r="I195" s="28" t="s">
        <v>147</v>
      </c>
      <c r="J195" s="28" t="s">
        <v>940</v>
      </c>
      <c r="K195" s="28" t="s">
        <v>346</v>
      </c>
      <c r="L195" s="28" t="s">
        <v>121</v>
      </c>
    </row>
    <row r="196" spans="1:12">
      <c r="A196" s="28" t="s">
        <v>941</v>
      </c>
      <c r="B196" s="28" t="s">
        <v>942</v>
      </c>
      <c r="C196" s="28" t="s">
        <v>929</v>
      </c>
      <c r="D196" s="47" t="s">
        <v>113</v>
      </c>
      <c r="E196" s="47" t="s">
        <v>502</v>
      </c>
      <c r="F196" s="28" t="s">
        <v>115</v>
      </c>
      <c r="G196" s="49" t="s">
        <v>943</v>
      </c>
      <c r="H196" s="49" t="s">
        <v>931</v>
      </c>
      <c r="I196" s="28" t="s">
        <v>932</v>
      </c>
      <c r="J196" s="28" t="s">
        <v>141</v>
      </c>
      <c r="K196" s="28" t="s">
        <v>944</v>
      </c>
      <c r="L196" s="28" t="s">
        <v>121</v>
      </c>
    </row>
    <row r="197" spans="1:12">
      <c r="A197" s="28" t="s">
        <v>945</v>
      </c>
      <c r="B197" s="28" t="s">
        <v>946</v>
      </c>
      <c r="C197" s="28" t="s">
        <v>947</v>
      </c>
      <c r="D197" s="47" t="s">
        <v>113</v>
      </c>
      <c r="E197" s="47" t="s">
        <v>370</v>
      </c>
      <c r="F197" s="28" t="s">
        <v>115</v>
      </c>
      <c r="G197" s="49" t="s">
        <v>948</v>
      </c>
      <c r="H197" s="49" t="s">
        <v>949</v>
      </c>
      <c r="I197" s="28" t="s">
        <v>414</v>
      </c>
      <c r="J197" s="28" t="s">
        <v>717</v>
      </c>
      <c r="K197" s="28" t="s">
        <v>441</v>
      </c>
      <c r="L197" s="28" t="s">
        <v>121</v>
      </c>
    </row>
    <row r="198" spans="1:12">
      <c r="A198" s="28" t="s">
        <v>950</v>
      </c>
      <c r="B198" s="28" t="s">
        <v>951</v>
      </c>
      <c r="C198" s="28" t="s">
        <v>952</v>
      </c>
      <c r="D198" s="47" t="s">
        <v>113</v>
      </c>
      <c r="E198" s="47" t="s">
        <v>953</v>
      </c>
      <c r="F198" s="28" t="s">
        <v>115</v>
      </c>
      <c r="G198" s="49" t="s">
        <v>954</v>
      </c>
      <c r="H198" s="49" t="s">
        <v>955</v>
      </c>
      <c r="I198" s="28" t="s">
        <v>444</v>
      </c>
      <c r="J198" s="28" t="s">
        <v>385</v>
      </c>
      <c r="K198" s="28" t="s">
        <v>956</v>
      </c>
      <c r="L198" s="28" t="s">
        <v>121</v>
      </c>
    </row>
    <row r="199" spans="1:12">
      <c r="A199" s="28" t="s">
        <v>957</v>
      </c>
      <c r="B199" s="28" t="s">
        <v>958</v>
      </c>
      <c r="C199" s="28" t="s">
        <v>952</v>
      </c>
      <c r="D199" s="47" t="s">
        <v>113</v>
      </c>
      <c r="E199" s="47" t="s">
        <v>953</v>
      </c>
      <c r="F199" s="28" t="s">
        <v>115</v>
      </c>
      <c r="G199" s="49" t="s">
        <v>954</v>
      </c>
      <c r="H199" s="49" t="s">
        <v>955</v>
      </c>
      <c r="I199" s="28" t="s">
        <v>444</v>
      </c>
      <c r="J199" s="28" t="s">
        <v>385</v>
      </c>
      <c r="K199" s="28" t="s">
        <v>956</v>
      </c>
      <c r="L199" s="28" t="s">
        <v>121</v>
      </c>
    </row>
    <row r="200" spans="1:12">
      <c r="A200" s="28" t="s">
        <v>959</v>
      </c>
      <c r="B200" s="28" t="s">
        <v>960</v>
      </c>
      <c r="C200" s="28" t="s">
        <v>929</v>
      </c>
      <c r="D200" s="47" t="s">
        <v>113</v>
      </c>
      <c r="E200" s="47" t="s">
        <v>502</v>
      </c>
      <c r="F200" s="28" t="s">
        <v>115</v>
      </c>
      <c r="G200" s="49" t="s">
        <v>930</v>
      </c>
      <c r="H200" s="49" t="s">
        <v>931</v>
      </c>
      <c r="I200" s="28" t="s">
        <v>269</v>
      </c>
      <c r="J200" s="28" t="s">
        <v>141</v>
      </c>
      <c r="K200" s="28" t="s">
        <v>932</v>
      </c>
      <c r="L200" s="28" t="s">
        <v>115</v>
      </c>
    </row>
    <row r="201" spans="1:12">
      <c r="A201" s="28" t="s">
        <v>961</v>
      </c>
      <c r="B201" s="28" t="s">
        <v>962</v>
      </c>
      <c r="C201" s="28" t="s">
        <v>963</v>
      </c>
      <c r="D201" s="47" t="s">
        <v>113</v>
      </c>
      <c r="E201" s="47" t="s">
        <v>544</v>
      </c>
      <c r="F201" s="28" t="s">
        <v>115</v>
      </c>
      <c r="G201" s="49" t="s">
        <v>936</v>
      </c>
      <c r="H201" s="49" t="s">
        <v>148</v>
      </c>
      <c r="I201" s="28" t="s">
        <v>611</v>
      </c>
      <c r="J201" s="28" t="s">
        <v>180</v>
      </c>
      <c r="K201" s="28" t="s">
        <v>216</v>
      </c>
      <c r="L201" s="28" t="s">
        <v>115</v>
      </c>
    </row>
    <row r="202" spans="1:12">
      <c r="A202" s="28" t="s">
        <v>964</v>
      </c>
      <c r="B202" s="28" t="s">
        <v>965</v>
      </c>
      <c r="C202" s="28" t="s">
        <v>966</v>
      </c>
      <c r="D202" s="47" t="s">
        <v>113</v>
      </c>
      <c r="E202" s="47" t="s">
        <v>967</v>
      </c>
      <c r="F202" s="28" t="s">
        <v>115</v>
      </c>
      <c r="G202" s="49" t="s">
        <v>948</v>
      </c>
      <c r="H202" s="49" t="s">
        <v>949</v>
      </c>
      <c r="I202" s="28" t="s">
        <v>414</v>
      </c>
      <c r="J202" s="28" t="s">
        <v>717</v>
      </c>
      <c r="K202" s="28" t="s">
        <v>441</v>
      </c>
      <c r="L202" s="28" t="s">
        <v>115</v>
      </c>
    </row>
    <row r="203" spans="1:12">
      <c r="A203" s="28" t="s">
        <v>968</v>
      </c>
      <c r="B203" s="28" t="s">
        <v>969</v>
      </c>
      <c r="C203" s="28" t="s">
        <v>970</v>
      </c>
      <c r="D203" s="47" t="s">
        <v>113</v>
      </c>
      <c r="E203" s="47" t="s">
        <v>544</v>
      </c>
      <c r="F203" s="28" t="s">
        <v>115</v>
      </c>
      <c r="G203" s="49" t="s">
        <v>943</v>
      </c>
      <c r="H203" s="49" t="s">
        <v>931</v>
      </c>
      <c r="I203" s="28" t="s">
        <v>932</v>
      </c>
      <c r="J203" s="28" t="s">
        <v>141</v>
      </c>
      <c r="K203" s="28" t="s">
        <v>944</v>
      </c>
      <c r="L203" s="28" t="s">
        <v>115</v>
      </c>
    </row>
    <row r="204" spans="1:12">
      <c r="A204" s="28" t="s">
        <v>971</v>
      </c>
      <c r="B204" s="28" t="s">
        <v>972</v>
      </c>
      <c r="C204" s="28" t="s">
        <v>973</v>
      </c>
      <c r="D204" s="47" t="s">
        <v>409</v>
      </c>
      <c r="E204" s="47" t="s">
        <v>146</v>
      </c>
      <c r="F204" s="28" t="s">
        <v>115</v>
      </c>
      <c r="G204" s="49" t="s">
        <v>384</v>
      </c>
      <c r="H204" s="49" t="s">
        <v>974</v>
      </c>
      <c r="I204" s="28" t="s">
        <v>439</v>
      </c>
      <c r="J204" s="28" t="s">
        <v>309</v>
      </c>
      <c r="K204" s="28" t="s">
        <v>975</v>
      </c>
      <c r="L204" s="28" t="s">
        <v>115</v>
      </c>
    </row>
    <row r="205" spans="1:12">
      <c r="A205" s="28" t="s">
        <v>976</v>
      </c>
      <c r="B205" s="28" t="s">
        <v>977</v>
      </c>
      <c r="C205" s="28" t="s">
        <v>973</v>
      </c>
      <c r="D205" s="47" t="s">
        <v>409</v>
      </c>
      <c r="E205" s="47" t="s">
        <v>146</v>
      </c>
      <c r="F205" s="28" t="s">
        <v>115</v>
      </c>
      <c r="G205" s="49" t="s">
        <v>384</v>
      </c>
      <c r="H205" s="49" t="s">
        <v>974</v>
      </c>
      <c r="I205" s="28" t="s">
        <v>439</v>
      </c>
      <c r="J205" s="28" t="s">
        <v>309</v>
      </c>
      <c r="K205" s="28" t="s">
        <v>975</v>
      </c>
      <c r="L205" s="28" t="s">
        <v>115</v>
      </c>
    </row>
    <row r="206" spans="1:12">
      <c r="A206" s="28" t="s">
        <v>978</v>
      </c>
      <c r="B206" s="28" t="s">
        <v>979</v>
      </c>
      <c r="C206" s="28" t="s">
        <v>973</v>
      </c>
      <c r="D206" s="47" t="s">
        <v>409</v>
      </c>
      <c r="E206" s="47" t="s">
        <v>146</v>
      </c>
      <c r="F206" s="28" t="s">
        <v>115</v>
      </c>
      <c r="G206" s="49" t="s">
        <v>384</v>
      </c>
      <c r="H206" s="49" t="s">
        <v>974</v>
      </c>
      <c r="I206" s="28" t="s">
        <v>439</v>
      </c>
      <c r="J206" s="28" t="s">
        <v>309</v>
      </c>
      <c r="K206" s="28" t="s">
        <v>975</v>
      </c>
      <c r="L206" s="28" t="s">
        <v>115</v>
      </c>
    </row>
    <row r="207" spans="1:12">
      <c r="A207" s="28" t="s">
        <v>980</v>
      </c>
      <c r="B207" s="28" t="s">
        <v>981</v>
      </c>
      <c r="C207" s="28" t="s">
        <v>973</v>
      </c>
      <c r="D207" s="47" t="s">
        <v>409</v>
      </c>
      <c r="E207" s="47" t="s">
        <v>146</v>
      </c>
      <c r="F207" s="28" t="s">
        <v>115</v>
      </c>
      <c r="G207" s="49" t="s">
        <v>384</v>
      </c>
      <c r="H207" s="49" t="s">
        <v>974</v>
      </c>
      <c r="I207" s="28" t="s">
        <v>439</v>
      </c>
      <c r="J207" s="28" t="s">
        <v>309</v>
      </c>
      <c r="K207" s="28" t="s">
        <v>975</v>
      </c>
      <c r="L207" s="28" t="s">
        <v>115</v>
      </c>
    </row>
    <row r="208" spans="1:12">
      <c r="A208" s="28" t="s">
        <v>982</v>
      </c>
      <c r="B208" s="28" t="s">
        <v>983</v>
      </c>
      <c r="C208" s="28" t="s">
        <v>963</v>
      </c>
      <c r="D208" s="47" t="s">
        <v>113</v>
      </c>
      <c r="E208" s="47" t="s">
        <v>175</v>
      </c>
      <c r="F208" s="28" t="s">
        <v>115</v>
      </c>
      <c r="G208" s="49" t="s">
        <v>984</v>
      </c>
      <c r="H208" s="49" t="s">
        <v>344</v>
      </c>
      <c r="I208" s="28" t="s">
        <v>985</v>
      </c>
      <c r="J208" s="28" t="s">
        <v>769</v>
      </c>
      <c r="K208" s="28" t="s">
        <v>223</v>
      </c>
      <c r="L208" s="28" t="s">
        <v>121</v>
      </c>
    </row>
    <row r="209" spans="1:12">
      <c r="A209" s="28" t="s">
        <v>986</v>
      </c>
      <c r="B209" s="28" t="s">
        <v>987</v>
      </c>
      <c r="C209" s="28" t="s">
        <v>963</v>
      </c>
      <c r="D209" s="47" t="s">
        <v>113</v>
      </c>
      <c r="E209" s="47" t="s">
        <v>175</v>
      </c>
      <c r="F209" s="28" t="s">
        <v>115</v>
      </c>
      <c r="G209" s="49" t="s">
        <v>936</v>
      </c>
      <c r="H209" s="49" t="s">
        <v>148</v>
      </c>
      <c r="I209" s="28" t="s">
        <v>611</v>
      </c>
      <c r="J209" s="28" t="s">
        <v>180</v>
      </c>
      <c r="K209" s="28" t="s">
        <v>216</v>
      </c>
      <c r="L209" s="28" t="s">
        <v>115</v>
      </c>
    </row>
    <row r="210" spans="1:12">
      <c r="A210" s="28" t="s">
        <v>988</v>
      </c>
      <c r="B210" s="28" t="s">
        <v>989</v>
      </c>
      <c r="C210" s="28" t="s">
        <v>963</v>
      </c>
      <c r="D210" s="47" t="s">
        <v>113</v>
      </c>
      <c r="E210" s="47" t="s">
        <v>175</v>
      </c>
      <c r="F210" s="28" t="s">
        <v>115</v>
      </c>
      <c r="G210" s="49" t="s">
        <v>939</v>
      </c>
      <c r="H210" s="49" t="s">
        <v>990</v>
      </c>
      <c r="I210" s="28" t="s">
        <v>147</v>
      </c>
      <c r="J210" s="28" t="s">
        <v>940</v>
      </c>
      <c r="K210" s="28" t="s">
        <v>346</v>
      </c>
      <c r="L210" s="28" t="s">
        <v>115</v>
      </c>
    </row>
    <row r="211" spans="1:12">
      <c r="A211" s="28" t="s">
        <v>991</v>
      </c>
      <c r="B211" s="28" t="s">
        <v>992</v>
      </c>
      <c r="C211" s="28" t="s">
        <v>993</v>
      </c>
      <c r="D211" s="47" t="s">
        <v>113</v>
      </c>
      <c r="E211" s="47" t="s">
        <v>502</v>
      </c>
      <c r="F211" s="28" t="s">
        <v>115</v>
      </c>
      <c r="G211" s="49" t="s">
        <v>994</v>
      </c>
      <c r="H211" s="49" t="s">
        <v>995</v>
      </c>
      <c r="I211" s="28" t="s">
        <v>956</v>
      </c>
      <c r="J211" s="28" t="s">
        <v>850</v>
      </c>
      <c r="K211" s="28" t="s">
        <v>125</v>
      </c>
      <c r="L211" s="28" t="s">
        <v>115</v>
      </c>
    </row>
    <row r="212" spans="1:12">
      <c r="A212" s="28" t="s">
        <v>996</v>
      </c>
      <c r="B212" s="28" t="s">
        <v>997</v>
      </c>
      <c r="C212" s="28" t="s">
        <v>963</v>
      </c>
      <c r="D212" s="47" t="s">
        <v>113</v>
      </c>
      <c r="E212" s="47" t="s">
        <v>175</v>
      </c>
      <c r="F212" s="28" t="s">
        <v>115</v>
      </c>
      <c r="G212" s="49" t="s">
        <v>998</v>
      </c>
      <c r="H212" s="49" t="s">
        <v>246</v>
      </c>
      <c r="I212" s="28" t="s">
        <v>985</v>
      </c>
      <c r="J212" s="28" t="s">
        <v>999</v>
      </c>
      <c r="K212" s="28" t="s">
        <v>223</v>
      </c>
      <c r="L212" s="28" t="s">
        <v>121</v>
      </c>
    </row>
    <row r="213" spans="1:12">
      <c r="A213" s="28" t="s">
        <v>1000</v>
      </c>
      <c r="B213" s="28" t="s">
        <v>1001</v>
      </c>
      <c r="C213" s="28" t="s">
        <v>993</v>
      </c>
      <c r="D213" s="47" t="s">
        <v>113</v>
      </c>
      <c r="E213" s="47" t="s">
        <v>502</v>
      </c>
      <c r="F213" s="28" t="s">
        <v>115</v>
      </c>
      <c r="G213" s="49" t="s">
        <v>1002</v>
      </c>
      <c r="H213" s="49" t="s">
        <v>1003</v>
      </c>
      <c r="I213" s="28" t="s">
        <v>125</v>
      </c>
      <c r="J213" s="28" t="s">
        <v>511</v>
      </c>
      <c r="K213" s="28" t="s">
        <v>1004</v>
      </c>
      <c r="L213" s="28" t="s">
        <v>121</v>
      </c>
    </row>
    <row r="214" spans="1:12">
      <c r="A214" s="28" t="s">
        <v>1005</v>
      </c>
      <c r="B214" s="28" t="s">
        <v>1006</v>
      </c>
      <c r="C214" s="28" t="s">
        <v>1007</v>
      </c>
      <c r="D214" s="47" t="s">
        <v>113</v>
      </c>
      <c r="E214" s="47" t="s">
        <v>502</v>
      </c>
      <c r="F214" s="28" t="s">
        <v>115</v>
      </c>
      <c r="G214" s="49" t="s">
        <v>930</v>
      </c>
      <c r="H214" s="49" t="s">
        <v>931</v>
      </c>
      <c r="I214" s="28" t="s">
        <v>269</v>
      </c>
      <c r="J214" s="28" t="s">
        <v>141</v>
      </c>
      <c r="K214" s="28" t="s">
        <v>932</v>
      </c>
      <c r="L214" s="28" t="s">
        <v>115</v>
      </c>
    </row>
    <row r="215" spans="1:12">
      <c r="A215" s="28" t="s">
        <v>1008</v>
      </c>
      <c r="B215" s="28" t="s">
        <v>1009</v>
      </c>
      <c r="C215" s="28" t="s">
        <v>1007</v>
      </c>
      <c r="D215" s="47" t="s">
        <v>113</v>
      </c>
      <c r="E215" s="47" t="s">
        <v>502</v>
      </c>
      <c r="F215" s="28" t="s">
        <v>115</v>
      </c>
      <c r="G215" s="49" t="s">
        <v>930</v>
      </c>
      <c r="H215" s="49" t="s">
        <v>931</v>
      </c>
      <c r="I215" s="28" t="s">
        <v>269</v>
      </c>
      <c r="J215" s="28" t="s">
        <v>141</v>
      </c>
      <c r="K215" s="28" t="s">
        <v>932</v>
      </c>
      <c r="L215" s="28" t="s">
        <v>115</v>
      </c>
    </row>
    <row r="216" spans="1:12">
      <c r="A216" s="28" t="s">
        <v>1010</v>
      </c>
      <c r="B216" s="28" t="s">
        <v>1011</v>
      </c>
      <c r="C216" s="28" t="s">
        <v>1012</v>
      </c>
      <c r="D216" s="47" t="s">
        <v>409</v>
      </c>
      <c r="E216" s="47" t="s">
        <v>1013</v>
      </c>
      <c r="F216" s="28" t="s">
        <v>115</v>
      </c>
      <c r="G216" s="49" t="s">
        <v>1014</v>
      </c>
      <c r="H216" s="49" t="s">
        <v>681</v>
      </c>
      <c r="I216" s="28" t="s">
        <v>345</v>
      </c>
      <c r="J216" s="28" t="s">
        <v>1015</v>
      </c>
      <c r="K216" s="28" t="s">
        <v>1016</v>
      </c>
      <c r="L216" s="28" t="s">
        <v>115</v>
      </c>
    </row>
    <row r="217" spans="1:12">
      <c r="A217" s="28" t="s">
        <v>1017</v>
      </c>
      <c r="B217" s="28" t="s">
        <v>1018</v>
      </c>
      <c r="C217" s="28" t="s">
        <v>1019</v>
      </c>
      <c r="D217" s="47" t="s">
        <v>409</v>
      </c>
      <c r="E217" s="47" t="s">
        <v>365</v>
      </c>
      <c r="F217" s="28" t="s">
        <v>115</v>
      </c>
      <c r="G217" s="49" t="s">
        <v>1020</v>
      </c>
      <c r="H217" s="49" t="s">
        <v>441</v>
      </c>
      <c r="I217" s="28" t="s">
        <v>1021</v>
      </c>
      <c r="J217" s="28" t="s">
        <v>1022</v>
      </c>
      <c r="K217" s="28" t="s">
        <v>1023</v>
      </c>
      <c r="L217" s="28" t="s">
        <v>445</v>
      </c>
    </row>
    <row r="218" spans="1:12">
      <c r="A218" s="28" t="s">
        <v>1024</v>
      </c>
      <c r="B218" s="28" t="s">
        <v>1025</v>
      </c>
      <c r="C218" s="28" t="s">
        <v>1026</v>
      </c>
      <c r="D218" s="47" t="s">
        <v>409</v>
      </c>
      <c r="E218" s="47" t="s">
        <v>1013</v>
      </c>
      <c r="F218" s="28" t="s">
        <v>115</v>
      </c>
      <c r="G218" s="49" t="s">
        <v>1014</v>
      </c>
      <c r="H218" s="49" t="s">
        <v>681</v>
      </c>
      <c r="I218" s="28" t="s">
        <v>345</v>
      </c>
      <c r="J218" s="28" t="s">
        <v>1015</v>
      </c>
      <c r="K218" s="28" t="s">
        <v>1016</v>
      </c>
      <c r="L218" s="28" t="s">
        <v>115</v>
      </c>
    </row>
    <row r="219" spans="1:12">
      <c r="A219" s="28" t="s">
        <v>1027</v>
      </c>
      <c r="B219" s="28" t="s">
        <v>1028</v>
      </c>
      <c r="C219" s="28" t="s">
        <v>993</v>
      </c>
      <c r="D219" s="47" t="s">
        <v>113</v>
      </c>
      <c r="E219" s="47" t="s">
        <v>798</v>
      </c>
      <c r="F219" s="28" t="s">
        <v>115</v>
      </c>
      <c r="G219" s="49" t="s">
        <v>1029</v>
      </c>
      <c r="H219" s="49" t="s">
        <v>1030</v>
      </c>
      <c r="I219" s="28" t="s">
        <v>200</v>
      </c>
      <c r="J219" s="28" t="s">
        <v>296</v>
      </c>
      <c r="K219" s="28" t="s">
        <v>1004</v>
      </c>
      <c r="L219" s="28" t="s">
        <v>121</v>
      </c>
    </row>
    <row r="220" spans="1:12">
      <c r="A220" s="28" t="s">
        <v>1031</v>
      </c>
      <c r="B220" s="28" t="s">
        <v>1032</v>
      </c>
      <c r="C220" s="28" t="s">
        <v>993</v>
      </c>
      <c r="D220" s="47" t="s">
        <v>113</v>
      </c>
      <c r="E220" s="47" t="s">
        <v>798</v>
      </c>
      <c r="F220" s="28" t="s">
        <v>115</v>
      </c>
      <c r="G220" s="49" t="s">
        <v>1029</v>
      </c>
      <c r="H220" s="49" t="s">
        <v>1030</v>
      </c>
      <c r="I220" s="28" t="s">
        <v>200</v>
      </c>
      <c r="J220" s="28" t="s">
        <v>296</v>
      </c>
      <c r="K220" s="28" t="s">
        <v>1004</v>
      </c>
      <c r="L220" s="28" t="s">
        <v>121</v>
      </c>
    </row>
    <row r="221" spans="1:12">
      <c r="A221" s="28" t="s">
        <v>1033</v>
      </c>
      <c r="B221" s="28" t="s">
        <v>1034</v>
      </c>
      <c r="C221" s="28" t="s">
        <v>993</v>
      </c>
      <c r="D221" s="47" t="s">
        <v>113</v>
      </c>
      <c r="E221" s="47" t="s">
        <v>798</v>
      </c>
      <c r="F221" s="28" t="s">
        <v>115</v>
      </c>
      <c r="G221" s="49" t="s">
        <v>1035</v>
      </c>
      <c r="H221" s="49" t="s">
        <v>1030</v>
      </c>
      <c r="I221" s="28" t="s">
        <v>200</v>
      </c>
      <c r="J221" s="28" t="s">
        <v>257</v>
      </c>
      <c r="K221" s="28" t="s">
        <v>1036</v>
      </c>
      <c r="L221" s="28" t="s">
        <v>121</v>
      </c>
    </row>
    <row r="222" spans="1:12">
      <c r="A222" s="28" t="s">
        <v>1037</v>
      </c>
      <c r="B222" s="28" t="s">
        <v>1038</v>
      </c>
      <c r="C222" s="28" t="s">
        <v>1039</v>
      </c>
      <c r="D222" s="47" t="s">
        <v>113</v>
      </c>
      <c r="E222" s="47" t="s">
        <v>175</v>
      </c>
      <c r="F222" s="28" t="s">
        <v>115</v>
      </c>
      <c r="G222" s="49" t="s">
        <v>1040</v>
      </c>
      <c r="H222" s="49" t="s">
        <v>208</v>
      </c>
      <c r="I222" s="28" t="s">
        <v>1041</v>
      </c>
      <c r="J222" s="28" t="s">
        <v>820</v>
      </c>
      <c r="K222" s="28" t="s">
        <v>269</v>
      </c>
      <c r="L222" s="28" t="s">
        <v>121</v>
      </c>
    </row>
    <row r="223" spans="1:12">
      <c r="A223" s="28" t="s">
        <v>1042</v>
      </c>
      <c r="B223" s="28" t="s">
        <v>1043</v>
      </c>
      <c r="C223" s="28" t="s">
        <v>1039</v>
      </c>
      <c r="D223" s="47" t="s">
        <v>113</v>
      </c>
      <c r="E223" s="47" t="s">
        <v>175</v>
      </c>
      <c r="F223" s="28" t="s">
        <v>115</v>
      </c>
      <c r="G223" s="49" t="s">
        <v>1044</v>
      </c>
      <c r="H223" s="49" t="s">
        <v>403</v>
      </c>
      <c r="I223" s="28" t="s">
        <v>985</v>
      </c>
      <c r="J223" s="28" t="s">
        <v>940</v>
      </c>
      <c r="K223" s="28" t="s">
        <v>1045</v>
      </c>
      <c r="L223" s="28" t="s">
        <v>121</v>
      </c>
    </row>
    <row r="224" spans="1:12">
      <c r="A224" s="28" t="s">
        <v>1046</v>
      </c>
      <c r="B224" s="28" t="s">
        <v>1047</v>
      </c>
      <c r="C224" s="28" t="s">
        <v>1039</v>
      </c>
      <c r="D224" s="47" t="s">
        <v>113</v>
      </c>
      <c r="E224" s="47" t="s">
        <v>175</v>
      </c>
      <c r="F224" s="28" t="s">
        <v>115</v>
      </c>
      <c r="G224" s="49" t="s">
        <v>1048</v>
      </c>
      <c r="H224" s="49" t="s">
        <v>208</v>
      </c>
      <c r="I224" s="28" t="s">
        <v>611</v>
      </c>
      <c r="J224" s="28" t="s">
        <v>511</v>
      </c>
      <c r="K224" s="28" t="s">
        <v>1049</v>
      </c>
      <c r="L224" s="28" t="s">
        <v>1050</v>
      </c>
    </row>
    <row r="225" spans="1:12">
      <c r="A225" s="28" t="s">
        <v>1051</v>
      </c>
      <c r="B225" s="28" t="s">
        <v>1052</v>
      </c>
      <c r="C225" s="28" t="s">
        <v>1039</v>
      </c>
      <c r="D225" s="47" t="s">
        <v>113</v>
      </c>
      <c r="E225" s="47" t="s">
        <v>175</v>
      </c>
      <c r="F225" s="28" t="s">
        <v>115</v>
      </c>
      <c r="G225" s="49" t="s">
        <v>1053</v>
      </c>
      <c r="H225" s="49" t="s">
        <v>650</v>
      </c>
      <c r="I225" s="28" t="s">
        <v>1054</v>
      </c>
      <c r="J225" s="28" t="s">
        <v>551</v>
      </c>
      <c r="K225" s="28" t="s">
        <v>346</v>
      </c>
      <c r="L225" s="28" t="s">
        <v>1050</v>
      </c>
    </row>
    <row r="226" spans="1:12">
      <c r="A226" s="28" t="s">
        <v>1055</v>
      </c>
      <c r="B226" s="28" t="s">
        <v>1056</v>
      </c>
      <c r="C226" s="28" t="s">
        <v>993</v>
      </c>
      <c r="D226" s="47" t="s">
        <v>113</v>
      </c>
      <c r="E226" s="47" t="s">
        <v>798</v>
      </c>
      <c r="F226" s="28" t="s">
        <v>115</v>
      </c>
      <c r="G226" s="49" t="s">
        <v>1002</v>
      </c>
      <c r="H226" s="49" t="s">
        <v>1030</v>
      </c>
      <c r="I226" s="28" t="s">
        <v>125</v>
      </c>
      <c r="J226" s="28" t="s">
        <v>511</v>
      </c>
      <c r="K226" s="28" t="s">
        <v>1004</v>
      </c>
      <c r="L226" s="28" t="s">
        <v>121</v>
      </c>
    </row>
    <row r="227" spans="1:12">
      <c r="A227" s="28" t="s">
        <v>1057</v>
      </c>
      <c r="B227" s="28" t="s">
        <v>1058</v>
      </c>
      <c r="C227" s="28" t="s">
        <v>1059</v>
      </c>
      <c r="D227" s="47" t="s">
        <v>1060</v>
      </c>
      <c r="E227" s="47" t="s">
        <v>257</v>
      </c>
      <c r="F227" s="28" t="s">
        <v>115</v>
      </c>
      <c r="G227" s="49" t="s">
        <v>1061</v>
      </c>
      <c r="H227" s="49" t="s">
        <v>672</v>
      </c>
      <c r="I227" s="28" t="s">
        <v>1062</v>
      </c>
      <c r="J227" s="28" t="s">
        <v>1063</v>
      </c>
      <c r="K227" s="28" t="s">
        <v>1064</v>
      </c>
      <c r="L227" s="28" t="s">
        <v>361</v>
      </c>
    </row>
    <row r="228" spans="1:12">
      <c r="A228" s="28" t="s">
        <v>1065</v>
      </c>
      <c r="B228" s="28" t="s">
        <v>1066</v>
      </c>
      <c r="C228" s="28" t="s">
        <v>1067</v>
      </c>
      <c r="D228" s="47" t="s">
        <v>1060</v>
      </c>
      <c r="E228" s="47" t="s">
        <v>257</v>
      </c>
      <c r="F228" s="28" t="s">
        <v>115</v>
      </c>
      <c r="G228" s="49" t="s">
        <v>1061</v>
      </c>
      <c r="H228" s="49" t="s">
        <v>347</v>
      </c>
      <c r="I228" s="28" t="s">
        <v>1062</v>
      </c>
      <c r="J228" s="28" t="s">
        <v>1063</v>
      </c>
      <c r="K228" s="28" t="s">
        <v>1064</v>
      </c>
      <c r="L228" s="28" t="s">
        <v>361</v>
      </c>
    </row>
    <row r="229" spans="1:12">
      <c r="A229" s="28" t="s">
        <v>1068</v>
      </c>
      <c r="B229" s="28" t="s">
        <v>1069</v>
      </c>
      <c r="C229" s="28" t="s">
        <v>1070</v>
      </c>
      <c r="D229" s="47" t="s">
        <v>146</v>
      </c>
      <c r="E229" s="47" t="s">
        <v>213</v>
      </c>
      <c r="F229" s="28" t="s">
        <v>115</v>
      </c>
      <c r="G229" s="49" t="s">
        <v>1071</v>
      </c>
      <c r="H229" s="49" t="s">
        <v>1072</v>
      </c>
      <c r="I229" s="28" t="s">
        <v>558</v>
      </c>
      <c r="J229" s="28" t="s">
        <v>166</v>
      </c>
      <c r="K229" s="28" t="s">
        <v>1073</v>
      </c>
      <c r="L229" s="28" t="s">
        <v>361</v>
      </c>
    </row>
    <row r="230" spans="1:12">
      <c r="A230" s="28" t="s">
        <v>1074</v>
      </c>
      <c r="B230" s="28" t="s">
        <v>1075</v>
      </c>
      <c r="C230" s="28" t="s">
        <v>1070</v>
      </c>
      <c r="D230" s="47" t="s">
        <v>146</v>
      </c>
      <c r="E230" s="47" t="s">
        <v>213</v>
      </c>
      <c r="F230" s="28" t="s">
        <v>115</v>
      </c>
      <c r="G230" s="49" t="s">
        <v>1071</v>
      </c>
      <c r="H230" s="49" t="s">
        <v>1072</v>
      </c>
      <c r="I230" s="28" t="s">
        <v>558</v>
      </c>
      <c r="J230" s="28" t="s">
        <v>166</v>
      </c>
      <c r="K230" s="28" t="s">
        <v>1073</v>
      </c>
      <c r="L230" s="28" t="s">
        <v>361</v>
      </c>
    </row>
    <row r="231" spans="1:12">
      <c r="A231" s="28" t="s">
        <v>1076</v>
      </c>
      <c r="B231" s="28" t="s">
        <v>1077</v>
      </c>
      <c r="C231" s="28" t="s">
        <v>1078</v>
      </c>
      <c r="D231" s="47" t="s">
        <v>146</v>
      </c>
      <c r="E231" s="47" t="s">
        <v>213</v>
      </c>
      <c r="F231" s="28" t="s">
        <v>115</v>
      </c>
      <c r="G231" s="49" t="s">
        <v>1071</v>
      </c>
      <c r="H231" s="49" t="s">
        <v>1072</v>
      </c>
      <c r="I231" s="28" t="s">
        <v>558</v>
      </c>
      <c r="J231" s="28" t="s">
        <v>166</v>
      </c>
      <c r="K231" s="28" t="s">
        <v>1073</v>
      </c>
      <c r="L231" s="28" t="s">
        <v>361</v>
      </c>
    </row>
    <row r="232" spans="1:12">
      <c r="A232" s="28" t="s">
        <v>1079</v>
      </c>
      <c r="B232" s="28" t="s">
        <v>1080</v>
      </c>
      <c r="C232" s="28" t="s">
        <v>1081</v>
      </c>
      <c r="D232" s="47" t="s">
        <v>1060</v>
      </c>
      <c r="E232" s="47" t="s">
        <v>257</v>
      </c>
      <c r="F232" s="28" t="s">
        <v>115</v>
      </c>
      <c r="G232" s="49" t="s">
        <v>1082</v>
      </c>
      <c r="H232" s="49" t="s">
        <v>1083</v>
      </c>
      <c r="I232" s="28" t="s">
        <v>1062</v>
      </c>
      <c r="J232" s="28" t="s">
        <v>566</v>
      </c>
      <c r="K232" s="28" t="s">
        <v>139</v>
      </c>
      <c r="L232" s="28" t="s">
        <v>361</v>
      </c>
    </row>
    <row r="233" spans="1:12">
      <c r="A233" s="28" t="s">
        <v>1084</v>
      </c>
      <c r="B233" s="28" t="s">
        <v>1085</v>
      </c>
      <c r="C233" s="28" t="s">
        <v>1081</v>
      </c>
      <c r="D233" s="47" t="s">
        <v>1060</v>
      </c>
      <c r="E233" s="47" t="s">
        <v>257</v>
      </c>
      <c r="F233" s="28" t="s">
        <v>115</v>
      </c>
      <c r="G233" s="49" t="s">
        <v>1082</v>
      </c>
      <c r="H233" s="49" t="s">
        <v>1083</v>
      </c>
      <c r="I233" s="28" t="s">
        <v>1062</v>
      </c>
      <c r="J233" s="28" t="s">
        <v>566</v>
      </c>
      <c r="K233" s="28" t="s">
        <v>139</v>
      </c>
      <c r="L233" s="28" t="s">
        <v>361</v>
      </c>
    </row>
    <row r="234" spans="1:12">
      <c r="A234" s="28" t="s">
        <v>1086</v>
      </c>
      <c r="B234" s="28" t="s">
        <v>1087</v>
      </c>
      <c r="C234" s="28" t="s">
        <v>1081</v>
      </c>
      <c r="D234" s="47" t="s">
        <v>1060</v>
      </c>
      <c r="E234" s="47" t="s">
        <v>257</v>
      </c>
      <c r="F234" s="28" t="s">
        <v>115</v>
      </c>
      <c r="G234" s="49" t="s">
        <v>1082</v>
      </c>
      <c r="H234" s="49" t="s">
        <v>1083</v>
      </c>
      <c r="I234" s="28" t="s">
        <v>1062</v>
      </c>
      <c r="J234" s="28" t="s">
        <v>566</v>
      </c>
      <c r="K234" s="28" t="s">
        <v>139</v>
      </c>
      <c r="L234" s="28" t="s">
        <v>361</v>
      </c>
    </row>
    <row r="235" spans="1:12">
      <c r="A235" s="28" t="s">
        <v>1088</v>
      </c>
      <c r="B235" s="28" t="s">
        <v>1089</v>
      </c>
      <c r="C235" s="28" t="s">
        <v>1090</v>
      </c>
      <c r="D235" s="47" t="s">
        <v>1060</v>
      </c>
      <c r="E235" s="47" t="s">
        <v>257</v>
      </c>
      <c r="F235" s="28" t="s">
        <v>115</v>
      </c>
      <c r="G235" s="49" t="s">
        <v>1082</v>
      </c>
      <c r="H235" s="49" t="s">
        <v>1083</v>
      </c>
      <c r="I235" s="28" t="s">
        <v>1062</v>
      </c>
      <c r="J235" s="28" t="s">
        <v>566</v>
      </c>
      <c r="K235" s="28" t="s">
        <v>139</v>
      </c>
      <c r="L235" s="28" t="s">
        <v>361</v>
      </c>
    </row>
    <row r="236" spans="1:12">
      <c r="A236" s="28" t="s">
        <v>1091</v>
      </c>
      <c r="B236" s="28" t="s">
        <v>1092</v>
      </c>
      <c r="C236" s="28" t="s">
        <v>1081</v>
      </c>
      <c r="D236" s="47" t="s">
        <v>1060</v>
      </c>
      <c r="E236" s="47" t="s">
        <v>257</v>
      </c>
      <c r="F236" s="28" t="s">
        <v>115</v>
      </c>
      <c r="G236" s="49" t="s">
        <v>1082</v>
      </c>
      <c r="H236" s="49" t="s">
        <v>1083</v>
      </c>
      <c r="I236" s="28" t="s">
        <v>1062</v>
      </c>
      <c r="J236" s="28" t="s">
        <v>566</v>
      </c>
      <c r="K236" s="28" t="s">
        <v>139</v>
      </c>
      <c r="L236" s="28" t="s">
        <v>361</v>
      </c>
    </row>
    <row r="237" spans="1:12">
      <c r="A237" s="28" t="s">
        <v>1093</v>
      </c>
      <c r="B237" s="28" t="s">
        <v>1080</v>
      </c>
      <c r="C237" s="28" t="s">
        <v>1094</v>
      </c>
      <c r="D237" s="47" t="s">
        <v>125</v>
      </c>
      <c r="E237" s="47" t="s">
        <v>213</v>
      </c>
      <c r="F237" s="28" t="s">
        <v>115</v>
      </c>
      <c r="G237" s="49" t="s">
        <v>1071</v>
      </c>
      <c r="H237" s="49" t="s">
        <v>1095</v>
      </c>
      <c r="I237" s="28" t="s">
        <v>558</v>
      </c>
      <c r="J237" s="28" t="s">
        <v>166</v>
      </c>
      <c r="K237" s="28" t="s">
        <v>1073</v>
      </c>
      <c r="L237" s="28" t="s">
        <v>115</v>
      </c>
    </row>
    <row r="238" spans="1:12">
      <c r="A238" s="28" t="s">
        <v>1096</v>
      </c>
      <c r="B238" s="28" t="s">
        <v>1085</v>
      </c>
      <c r="C238" s="28" t="s">
        <v>1094</v>
      </c>
      <c r="D238" s="47" t="s">
        <v>125</v>
      </c>
      <c r="E238" s="47" t="s">
        <v>213</v>
      </c>
      <c r="F238" s="28" t="s">
        <v>115</v>
      </c>
      <c r="G238" s="49" t="s">
        <v>1071</v>
      </c>
      <c r="H238" s="49" t="s">
        <v>1095</v>
      </c>
      <c r="I238" s="28" t="s">
        <v>558</v>
      </c>
      <c r="J238" s="28" t="s">
        <v>166</v>
      </c>
      <c r="K238" s="28" t="s">
        <v>1073</v>
      </c>
      <c r="L238" s="28" t="s">
        <v>115</v>
      </c>
    </row>
    <row r="239" spans="1:12">
      <c r="A239" s="28" t="s">
        <v>1097</v>
      </c>
      <c r="B239" s="28" t="s">
        <v>1087</v>
      </c>
      <c r="C239" s="28" t="s">
        <v>1094</v>
      </c>
      <c r="D239" s="47" t="s">
        <v>125</v>
      </c>
      <c r="E239" s="47" t="s">
        <v>213</v>
      </c>
      <c r="F239" s="28" t="s">
        <v>115</v>
      </c>
      <c r="G239" s="49" t="s">
        <v>1071</v>
      </c>
      <c r="H239" s="49" t="s">
        <v>1095</v>
      </c>
      <c r="I239" s="28" t="s">
        <v>558</v>
      </c>
      <c r="J239" s="28" t="s">
        <v>166</v>
      </c>
      <c r="K239" s="28" t="s">
        <v>1073</v>
      </c>
      <c r="L239" s="28" t="s">
        <v>115</v>
      </c>
    </row>
    <row r="240" spans="1:12">
      <c r="A240" s="28" t="s">
        <v>1098</v>
      </c>
      <c r="B240" s="28" t="s">
        <v>1089</v>
      </c>
      <c r="C240" s="28" t="s">
        <v>1099</v>
      </c>
      <c r="D240" s="47" t="s">
        <v>125</v>
      </c>
      <c r="E240" s="47" t="s">
        <v>213</v>
      </c>
      <c r="F240" s="28" t="s">
        <v>115</v>
      </c>
      <c r="G240" s="49" t="s">
        <v>1071</v>
      </c>
      <c r="H240" s="49" t="s">
        <v>1095</v>
      </c>
      <c r="I240" s="28" t="s">
        <v>558</v>
      </c>
      <c r="J240" s="28" t="s">
        <v>166</v>
      </c>
      <c r="K240" s="28" t="s">
        <v>1073</v>
      </c>
      <c r="L240" s="28" t="s">
        <v>115</v>
      </c>
    </row>
    <row r="241" spans="1:12">
      <c r="A241" s="28" t="s">
        <v>1100</v>
      </c>
      <c r="B241" s="28" t="s">
        <v>1092</v>
      </c>
      <c r="C241" s="28" t="s">
        <v>1094</v>
      </c>
      <c r="D241" s="47" t="s">
        <v>125</v>
      </c>
      <c r="E241" s="47" t="s">
        <v>213</v>
      </c>
      <c r="F241" s="28" t="s">
        <v>115</v>
      </c>
      <c r="G241" s="49" t="s">
        <v>1071</v>
      </c>
      <c r="H241" s="49" t="s">
        <v>1095</v>
      </c>
      <c r="I241" s="28" t="s">
        <v>558</v>
      </c>
      <c r="J241" s="28" t="s">
        <v>166</v>
      </c>
      <c r="K241" s="28" t="s">
        <v>1073</v>
      </c>
      <c r="L241" s="28" t="s">
        <v>115</v>
      </c>
    </row>
    <row r="242" spans="1:12">
      <c r="A242" s="28" t="s">
        <v>1101</v>
      </c>
      <c r="B242" s="28" t="s">
        <v>1102</v>
      </c>
      <c r="C242" s="28" t="s">
        <v>1103</v>
      </c>
      <c r="D242" s="47" t="s">
        <v>1104</v>
      </c>
      <c r="E242" s="47" t="s">
        <v>257</v>
      </c>
      <c r="F242" s="28" t="s">
        <v>115</v>
      </c>
      <c r="G242" s="49" t="s">
        <v>1105</v>
      </c>
      <c r="H242" s="49" t="s">
        <v>881</v>
      </c>
      <c r="I242" s="28" t="s">
        <v>1106</v>
      </c>
      <c r="J242" s="28" t="s">
        <v>1107</v>
      </c>
      <c r="K242" s="28" t="s">
        <v>1108</v>
      </c>
      <c r="L242" s="28" t="s">
        <v>361</v>
      </c>
    </row>
    <row r="243" spans="1:12">
      <c r="A243" s="28" t="s">
        <v>1109</v>
      </c>
      <c r="B243" s="28" t="s">
        <v>1110</v>
      </c>
      <c r="C243" s="28" t="s">
        <v>1111</v>
      </c>
      <c r="D243" s="47" t="s">
        <v>125</v>
      </c>
      <c r="E243" s="47" t="s">
        <v>284</v>
      </c>
      <c r="F243" s="28" t="s">
        <v>115</v>
      </c>
      <c r="G243" s="49" t="s">
        <v>1112</v>
      </c>
      <c r="H243" s="49" t="s">
        <v>1113</v>
      </c>
      <c r="I243" s="28" t="s">
        <v>1114</v>
      </c>
      <c r="J243" s="28" t="s">
        <v>346</v>
      </c>
      <c r="K243" s="28" t="s">
        <v>820</v>
      </c>
      <c r="L243" s="28" t="s">
        <v>361</v>
      </c>
    </row>
    <row r="244" spans="1:12">
      <c r="A244" s="28" t="s">
        <v>1115</v>
      </c>
      <c r="B244" s="28" t="s">
        <v>1116</v>
      </c>
      <c r="C244" s="28" t="s">
        <v>1117</v>
      </c>
      <c r="D244" s="47" t="s">
        <v>650</v>
      </c>
      <c r="E244" s="47" t="s">
        <v>115</v>
      </c>
      <c r="F244" s="28" t="s">
        <v>115</v>
      </c>
      <c r="G244" s="49" t="s">
        <v>1118</v>
      </c>
      <c r="H244" s="49" t="s">
        <v>605</v>
      </c>
      <c r="I244" s="28" t="s">
        <v>215</v>
      </c>
      <c r="J244" s="28" t="s">
        <v>481</v>
      </c>
      <c r="K244" s="28" t="s">
        <v>1119</v>
      </c>
      <c r="L244" s="28" t="s">
        <v>361</v>
      </c>
    </row>
    <row r="245" spans="1:12">
      <c r="A245" s="28" t="s">
        <v>1120</v>
      </c>
      <c r="B245" s="28" t="s">
        <v>1121</v>
      </c>
      <c r="C245" s="28" t="s">
        <v>1122</v>
      </c>
      <c r="D245" s="47" t="s">
        <v>502</v>
      </c>
      <c r="E245" s="47" t="s">
        <v>1123</v>
      </c>
      <c r="F245" s="28" t="s">
        <v>115</v>
      </c>
      <c r="G245" s="49" t="s">
        <v>1124</v>
      </c>
      <c r="H245" s="49" t="s">
        <v>263</v>
      </c>
      <c r="I245" s="28" t="s">
        <v>1125</v>
      </c>
      <c r="J245" s="28" t="s">
        <v>147</v>
      </c>
      <c r="K245" s="28" t="s">
        <v>1126</v>
      </c>
      <c r="L245" s="28" t="s">
        <v>361</v>
      </c>
    </row>
    <row r="246" spans="1:12">
      <c r="A246" s="28" t="s">
        <v>1127</v>
      </c>
      <c r="B246" s="28" t="s">
        <v>1128</v>
      </c>
      <c r="C246" s="28" t="s">
        <v>163</v>
      </c>
      <c r="D246" s="47" t="s">
        <v>113</v>
      </c>
      <c r="E246" s="47" t="s">
        <v>261</v>
      </c>
      <c r="F246" s="28" t="s">
        <v>115</v>
      </c>
      <c r="G246" s="49" t="s">
        <v>1129</v>
      </c>
      <c r="H246" s="49" t="s">
        <v>128</v>
      </c>
      <c r="I246" s="28" t="s">
        <v>216</v>
      </c>
      <c r="J246" s="28" t="s">
        <v>192</v>
      </c>
      <c r="K246" s="28" t="s">
        <v>257</v>
      </c>
      <c r="L246" s="28" t="s">
        <v>361</v>
      </c>
    </row>
    <row r="247" spans="1:12">
      <c r="A247" s="28" t="s">
        <v>1130</v>
      </c>
      <c r="B247" s="28" t="s">
        <v>1131</v>
      </c>
      <c r="C247" s="28" t="s">
        <v>1132</v>
      </c>
      <c r="D247" s="47" t="s">
        <v>113</v>
      </c>
      <c r="E247" s="47" t="s">
        <v>370</v>
      </c>
      <c r="F247" s="28" t="s">
        <v>115</v>
      </c>
      <c r="G247" s="49" t="s">
        <v>1133</v>
      </c>
      <c r="H247" s="49" t="s">
        <v>1134</v>
      </c>
      <c r="I247" s="28" t="s">
        <v>216</v>
      </c>
      <c r="J247" s="28" t="s">
        <v>200</v>
      </c>
      <c r="K247" s="28" t="s">
        <v>875</v>
      </c>
      <c r="L247" s="28" t="s">
        <v>361</v>
      </c>
    </row>
    <row r="248" spans="1:12">
      <c r="A248" s="28" t="s">
        <v>1135</v>
      </c>
      <c r="B248" s="28" t="s">
        <v>1136</v>
      </c>
      <c r="C248" s="28" t="s">
        <v>1132</v>
      </c>
      <c r="D248" s="47" t="s">
        <v>113</v>
      </c>
      <c r="E248" s="47" t="s">
        <v>370</v>
      </c>
      <c r="F248" s="28" t="s">
        <v>115</v>
      </c>
      <c r="G248" s="49" t="s">
        <v>1137</v>
      </c>
      <c r="H248" s="49" t="s">
        <v>1134</v>
      </c>
      <c r="I248" s="28" t="s">
        <v>498</v>
      </c>
      <c r="J248" s="28" t="s">
        <v>896</v>
      </c>
      <c r="K248" s="28" t="s">
        <v>850</v>
      </c>
      <c r="L248" s="28" t="s">
        <v>361</v>
      </c>
    </row>
    <row r="249" spans="1:12">
      <c r="A249" s="28" t="s">
        <v>1138</v>
      </c>
      <c r="B249" s="28" t="s">
        <v>1139</v>
      </c>
      <c r="C249" s="28" t="s">
        <v>1132</v>
      </c>
      <c r="D249" s="47" t="s">
        <v>113</v>
      </c>
      <c r="E249" s="47" t="s">
        <v>370</v>
      </c>
      <c r="F249" s="28" t="s">
        <v>115</v>
      </c>
      <c r="G249" s="49" t="s">
        <v>1140</v>
      </c>
      <c r="H249" s="49" t="s">
        <v>1134</v>
      </c>
      <c r="I249" s="28" t="s">
        <v>249</v>
      </c>
      <c r="J249" s="28" t="s">
        <v>1141</v>
      </c>
      <c r="K249" s="28" t="s">
        <v>722</v>
      </c>
      <c r="L249" s="28" t="s">
        <v>361</v>
      </c>
    </row>
    <row r="250" spans="1:12">
      <c r="A250" s="28" t="s">
        <v>1142</v>
      </c>
      <c r="B250" s="28" t="s">
        <v>1143</v>
      </c>
      <c r="C250" s="28" t="s">
        <v>1144</v>
      </c>
      <c r="D250" s="47" t="s">
        <v>113</v>
      </c>
      <c r="E250" s="47" t="s">
        <v>115</v>
      </c>
      <c r="F250" s="28" t="s">
        <v>115</v>
      </c>
      <c r="G250" s="49" t="s">
        <v>1145</v>
      </c>
      <c r="H250" s="49" t="s">
        <v>1146</v>
      </c>
      <c r="I250" s="28" t="s">
        <v>216</v>
      </c>
      <c r="J250" s="28" t="s">
        <v>1147</v>
      </c>
      <c r="K250" s="28" t="s">
        <v>520</v>
      </c>
      <c r="L250" s="28" t="s">
        <v>115</v>
      </c>
    </row>
    <row r="251" spans="1:12">
      <c r="A251" s="28" t="s">
        <v>1148</v>
      </c>
      <c r="B251" s="28" t="s">
        <v>1149</v>
      </c>
      <c r="C251" s="28" t="s">
        <v>1144</v>
      </c>
      <c r="D251" s="47" t="s">
        <v>113</v>
      </c>
      <c r="E251" s="47" t="s">
        <v>115</v>
      </c>
      <c r="F251" s="28" t="s">
        <v>115</v>
      </c>
      <c r="G251" s="49" t="s">
        <v>1145</v>
      </c>
      <c r="H251" s="49" t="s">
        <v>1150</v>
      </c>
      <c r="I251" s="28" t="s">
        <v>216</v>
      </c>
      <c r="J251" s="28" t="s">
        <v>1147</v>
      </c>
      <c r="K251" s="28" t="s">
        <v>520</v>
      </c>
      <c r="L251" s="28" t="s">
        <v>115</v>
      </c>
    </row>
    <row r="252" spans="1:12">
      <c r="A252" s="28" t="s">
        <v>1151</v>
      </c>
      <c r="B252" s="28" t="s">
        <v>1152</v>
      </c>
      <c r="C252" s="28" t="s">
        <v>1144</v>
      </c>
      <c r="D252" s="47" t="s">
        <v>113</v>
      </c>
      <c r="E252" s="47" t="s">
        <v>115</v>
      </c>
      <c r="F252" s="28" t="s">
        <v>115</v>
      </c>
      <c r="G252" s="49" t="s">
        <v>1145</v>
      </c>
      <c r="H252" s="49" t="s">
        <v>1153</v>
      </c>
      <c r="I252" s="28" t="s">
        <v>216</v>
      </c>
      <c r="J252" s="28" t="s">
        <v>1147</v>
      </c>
      <c r="K252" s="28" t="s">
        <v>520</v>
      </c>
      <c r="L252" s="28" t="s">
        <v>115</v>
      </c>
    </row>
    <row r="253" spans="1:12">
      <c r="A253" s="28" t="s">
        <v>1154</v>
      </c>
      <c r="B253" s="28" t="s">
        <v>1155</v>
      </c>
      <c r="C253" s="28" t="s">
        <v>1156</v>
      </c>
      <c r="D253" s="47" t="s">
        <v>409</v>
      </c>
      <c r="E253" s="47" t="s">
        <v>115</v>
      </c>
      <c r="F253" s="28" t="s">
        <v>115</v>
      </c>
      <c r="G253" s="49" t="s">
        <v>1157</v>
      </c>
      <c r="H253" s="49" t="s">
        <v>1158</v>
      </c>
      <c r="I253" s="28" t="s">
        <v>1159</v>
      </c>
      <c r="J253" s="28" t="s">
        <v>395</v>
      </c>
      <c r="K253" s="28" t="s">
        <v>975</v>
      </c>
      <c r="L253" s="28" t="s">
        <v>115</v>
      </c>
    </row>
    <row r="254" spans="1:12">
      <c r="A254" s="28" t="s">
        <v>1160</v>
      </c>
      <c r="B254" s="28" t="s">
        <v>1161</v>
      </c>
      <c r="C254" s="28" t="s">
        <v>1144</v>
      </c>
      <c r="D254" s="47" t="s">
        <v>113</v>
      </c>
      <c r="E254" s="47" t="s">
        <v>115</v>
      </c>
      <c r="F254" s="28" t="s">
        <v>115</v>
      </c>
      <c r="G254" s="49" t="s">
        <v>1145</v>
      </c>
      <c r="H254" s="49" t="s">
        <v>1153</v>
      </c>
      <c r="I254" s="28" t="s">
        <v>216</v>
      </c>
      <c r="J254" s="28" t="s">
        <v>1147</v>
      </c>
      <c r="K254" s="28" t="s">
        <v>520</v>
      </c>
      <c r="L254" s="28" t="s">
        <v>115</v>
      </c>
    </row>
    <row r="255" spans="1:12">
      <c r="A255" s="28" t="s">
        <v>1162</v>
      </c>
      <c r="B255" s="28" t="s">
        <v>1163</v>
      </c>
      <c r="C255" s="28" t="s">
        <v>1144</v>
      </c>
      <c r="D255" s="47" t="s">
        <v>113</v>
      </c>
      <c r="E255" s="47" t="s">
        <v>115</v>
      </c>
      <c r="F255" s="28" t="s">
        <v>115</v>
      </c>
      <c r="G255" s="49" t="s">
        <v>1145</v>
      </c>
      <c r="H255" s="49" t="s">
        <v>1164</v>
      </c>
      <c r="I255" s="28" t="s">
        <v>216</v>
      </c>
      <c r="J255" s="28" t="s">
        <v>1147</v>
      </c>
      <c r="K255" s="28" t="s">
        <v>520</v>
      </c>
      <c r="L255" s="28" t="s">
        <v>115</v>
      </c>
    </row>
    <row r="256" spans="1:12">
      <c r="A256" s="28" t="s">
        <v>1165</v>
      </c>
      <c r="B256" s="28" t="s">
        <v>1166</v>
      </c>
      <c r="C256" s="28" t="s">
        <v>1144</v>
      </c>
      <c r="D256" s="47" t="s">
        <v>113</v>
      </c>
      <c r="E256" s="47" t="s">
        <v>115</v>
      </c>
      <c r="F256" s="28" t="s">
        <v>115</v>
      </c>
      <c r="G256" s="49" t="s">
        <v>1145</v>
      </c>
      <c r="H256" s="49" t="s">
        <v>1167</v>
      </c>
      <c r="I256" s="28" t="s">
        <v>216</v>
      </c>
      <c r="J256" s="28" t="s">
        <v>1147</v>
      </c>
      <c r="K256" s="28" t="s">
        <v>520</v>
      </c>
      <c r="L256" s="28" t="s">
        <v>115</v>
      </c>
    </row>
    <row r="257" spans="1:12">
      <c r="A257" s="28" t="s">
        <v>1168</v>
      </c>
      <c r="B257" s="28" t="s">
        <v>1169</v>
      </c>
      <c r="C257" s="28" t="s">
        <v>1156</v>
      </c>
      <c r="D257" s="47" t="s">
        <v>409</v>
      </c>
      <c r="E257" s="47" t="s">
        <v>115</v>
      </c>
      <c r="F257" s="28" t="s">
        <v>115</v>
      </c>
      <c r="G257" s="49" t="s">
        <v>1157</v>
      </c>
      <c r="H257" s="49" t="s">
        <v>1170</v>
      </c>
      <c r="I257" s="28" t="s">
        <v>1159</v>
      </c>
      <c r="J257" s="28" t="s">
        <v>395</v>
      </c>
      <c r="K257" s="28" t="s">
        <v>975</v>
      </c>
      <c r="L257" s="28" t="s">
        <v>115</v>
      </c>
    </row>
    <row r="258" spans="1:12">
      <c r="A258" s="28" t="s">
        <v>1171</v>
      </c>
      <c r="B258" s="28" t="s">
        <v>1172</v>
      </c>
      <c r="C258" s="28" t="s">
        <v>1156</v>
      </c>
      <c r="D258" s="47" t="s">
        <v>409</v>
      </c>
      <c r="E258" s="47" t="s">
        <v>115</v>
      </c>
      <c r="F258" s="28" t="s">
        <v>115</v>
      </c>
      <c r="G258" s="49" t="s">
        <v>1157</v>
      </c>
      <c r="H258" s="49" t="s">
        <v>1173</v>
      </c>
      <c r="I258" s="28" t="s">
        <v>1159</v>
      </c>
      <c r="J258" s="28" t="s">
        <v>395</v>
      </c>
      <c r="K258" s="28" t="s">
        <v>975</v>
      </c>
      <c r="L258" s="28" t="s">
        <v>115</v>
      </c>
    </row>
    <row r="259" spans="1:12">
      <c r="A259" s="28" t="s">
        <v>1174</v>
      </c>
      <c r="B259" s="28" t="s">
        <v>1175</v>
      </c>
      <c r="C259" s="28" t="s">
        <v>1156</v>
      </c>
      <c r="D259" s="47" t="s">
        <v>409</v>
      </c>
      <c r="E259" s="47" t="s">
        <v>115</v>
      </c>
      <c r="F259" s="28" t="s">
        <v>115</v>
      </c>
      <c r="G259" s="49" t="s">
        <v>1157</v>
      </c>
      <c r="H259" s="49" t="s">
        <v>1176</v>
      </c>
      <c r="I259" s="28" t="s">
        <v>1159</v>
      </c>
      <c r="J259" s="28" t="s">
        <v>395</v>
      </c>
      <c r="K259" s="28" t="s">
        <v>975</v>
      </c>
      <c r="L259" s="28" t="s">
        <v>115</v>
      </c>
    </row>
    <row r="260" spans="1:12">
      <c r="A260" s="28" t="s">
        <v>1177</v>
      </c>
      <c r="B260" s="28" t="s">
        <v>1178</v>
      </c>
      <c r="C260" s="28" t="s">
        <v>1179</v>
      </c>
      <c r="D260" s="47" t="s">
        <v>113</v>
      </c>
      <c r="E260" s="47" t="s">
        <v>252</v>
      </c>
      <c r="F260" s="28" t="s">
        <v>115</v>
      </c>
      <c r="G260" s="49" t="s">
        <v>1180</v>
      </c>
      <c r="H260" s="49" t="s">
        <v>861</v>
      </c>
      <c r="I260" s="28" t="s">
        <v>782</v>
      </c>
      <c r="J260" s="28" t="s">
        <v>932</v>
      </c>
      <c r="K260" s="28" t="s">
        <v>465</v>
      </c>
      <c r="L260" s="28" t="s">
        <v>115</v>
      </c>
    </row>
    <row r="261" spans="1:12">
      <c r="A261" s="28" t="s">
        <v>1181</v>
      </c>
      <c r="B261" s="28" t="s">
        <v>1182</v>
      </c>
      <c r="C261" s="28" t="s">
        <v>1179</v>
      </c>
      <c r="D261" s="47" t="s">
        <v>113</v>
      </c>
      <c r="E261" s="47" t="s">
        <v>252</v>
      </c>
      <c r="F261" s="28" t="s">
        <v>115</v>
      </c>
      <c r="G261" s="49" t="s">
        <v>1180</v>
      </c>
      <c r="H261" s="49" t="s">
        <v>861</v>
      </c>
      <c r="I261" s="28" t="s">
        <v>782</v>
      </c>
      <c r="J261" s="28" t="s">
        <v>932</v>
      </c>
      <c r="K261" s="28" t="s">
        <v>465</v>
      </c>
      <c r="L261" s="28" t="s">
        <v>115</v>
      </c>
    </row>
    <row r="262" spans="1:12">
      <c r="A262" s="28" t="s">
        <v>1183</v>
      </c>
      <c r="B262" s="28" t="s">
        <v>1184</v>
      </c>
      <c r="C262" s="28" t="s">
        <v>670</v>
      </c>
      <c r="D262" s="47" t="s">
        <v>113</v>
      </c>
      <c r="E262" s="47" t="s">
        <v>357</v>
      </c>
      <c r="F262" s="28" t="s">
        <v>115</v>
      </c>
      <c r="G262" s="49" t="s">
        <v>1185</v>
      </c>
      <c r="H262" s="49" t="s">
        <v>525</v>
      </c>
      <c r="I262" s="28" t="s">
        <v>481</v>
      </c>
      <c r="J262" s="28" t="s">
        <v>1141</v>
      </c>
      <c r="K262" s="28" t="s">
        <v>1186</v>
      </c>
      <c r="L262" s="28" t="s">
        <v>168</v>
      </c>
    </row>
    <row r="263" spans="1:12">
      <c r="A263" s="28" t="s">
        <v>1187</v>
      </c>
      <c r="B263" s="28" t="s">
        <v>1188</v>
      </c>
      <c r="C263" s="28" t="s">
        <v>670</v>
      </c>
      <c r="D263" s="47" t="s">
        <v>113</v>
      </c>
      <c r="E263" s="47" t="s">
        <v>357</v>
      </c>
      <c r="F263" s="28" t="s">
        <v>115</v>
      </c>
      <c r="G263" s="49" t="s">
        <v>1189</v>
      </c>
      <c r="H263" s="49" t="s">
        <v>903</v>
      </c>
      <c r="I263" s="28" t="s">
        <v>216</v>
      </c>
      <c r="J263" s="28" t="s">
        <v>896</v>
      </c>
      <c r="K263" s="28" t="s">
        <v>1190</v>
      </c>
      <c r="L263" s="28" t="s">
        <v>131</v>
      </c>
    </row>
    <row r="264" spans="1:12">
      <c r="A264" s="28" t="s">
        <v>1191</v>
      </c>
      <c r="B264" s="28" t="s">
        <v>1192</v>
      </c>
      <c r="C264" s="28" t="s">
        <v>1193</v>
      </c>
      <c r="D264" s="47" t="s">
        <v>113</v>
      </c>
      <c r="E264" s="47" t="s">
        <v>791</v>
      </c>
      <c r="F264" s="28" t="s">
        <v>115</v>
      </c>
      <c r="G264" s="49" t="s">
        <v>1194</v>
      </c>
      <c r="H264" s="49" t="s">
        <v>854</v>
      </c>
      <c r="I264" s="28" t="s">
        <v>130</v>
      </c>
      <c r="J264" s="28" t="s">
        <v>1195</v>
      </c>
      <c r="K264" s="28" t="s">
        <v>1167</v>
      </c>
      <c r="L264" s="28" t="s">
        <v>121</v>
      </c>
    </row>
    <row r="265" spans="1:12">
      <c r="A265" s="28" t="s">
        <v>1196</v>
      </c>
      <c r="B265" s="28" t="s">
        <v>1197</v>
      </c>
      <c r="C265" s="28" t="s">
        <v>1198</v>
      </c>
      <c r="D265" s="47" t="s">
        <v>113</v>
      </c>
      <c r="E265" s="47" t="s">
        <v>213</v>
      </c>
      <c r="F265" s="28" t="s">
        <v>115</v>
      </c>
      <c r="G265" s="49" t="s">
        <v>1199</v>
      </c>
      <c r="H265" s="49" t="s">
        <v>239</v>
      </c>
      <c r="I265" s="28" t="s">
        <v>1200</v>
      </c>
      <c r="J265" s="28" t="s">
        <v>414</v>
      </c>
      <c r="K265" s="28" t="s">
        <v>347</v>
      </c>
      <c r="L265" s="28" t="s">
        <v>168</v>
      </c>
    </row>
    <row r="266" spans="1:12">
      <c r="A266" s="28" t="s">
        <v>1201</v>
      </c>
      <c r="B266" s="28" t="s">
        <v>1202</v>
      </c>
      <c r="C266" s="28" t="s">
        <v>235</v>
      </c>
      <c r="D266" s="47" t="s">
        <v>113</v>
      </c>
      <c r="E266" s="47" t="s">
        <v>213</v>
      </c>
      <c r="F266" s="28" t="s">
        <v>115</v>
      </c>
      <c r="G266" s="49" t="s">
        <v>1203</v>
      </c>
      <c r="H266" s="49" t="s">
        <v>239</v>
      </c>
      <c r="I266" s="28" t="s">
        <v>1204</v>
      </c>
      <c r="J266" s="28" t="s">
        <v>420</v>
      </c>
      <c r="K266" s="28" t="s">
        <v>347</v>
      </c>
      <c r="L266" s="28" t="s">
        <v>121</v>
      </c>
    </row>
    <row r="267" spans="1:12">
      <c r="A267" s="28" t="s">
        <v>1205</v>
      </c>
      <c r="B267" s="28" t="s">
        <v>1206</v>
      </c>
      <c r="C267" s="28" t="s">
        <v>1207</v>
      </c>
      <c r="D267" s="47" t="s">
        <v>113</v>
      </c>
      <c r="E267" s="47" t="s">
        <v>213</v>
      </c>
      <c r="F267" s="28" t="s">
        <v>115</v>
      </c>
      <c r="G267" s="49" t="s">
        <v>1208</v>
      </c>
      <c r="H267" s="49" t="s">
        <v>794</v>
      </c>
      <c r="I267" s="28" t="s">
        <v>1209</v>
      </c>
      <c r="J267" s="28" t="s">
        <v>420</v>
      </c>
      <c r="K267" s="28" t="s">
        <v>441</v>
      </c>
      <c r="L267" s="28" t="s">
        <v>361</v>
      </c>
    </row>
    <row r="268" spans="1:12">
      <c r="A268" s="28" t="s">
        <v>1210</v>
      </c>
      <c r="B268" s="28" t="s">
        <v>1211</v>
      </c>
      <c r="C268" s="28" t="s">
        <v>260</v>
      </c>
      <c r="D268" s="47" t="s">
        <v>113</v>
      </c>
      <c r="E268" s="47" t="s">
        <v>213</v>
      </c>
      <c r="F268" s="28" t="s">
        <v>115</v>
      </c>
      <c r="G268" s="49" t="s">
        <v>1199</v>
      </c>
      <c r="H268" s="49" t="s">
        <v>263</v>
      </c>
      <c r="I268" s="28" t="s">
        <v>1200</v>
      </c>
      <c r="J268" s="28" t="s">
        <v>414</v>
      </c>
      <c r="K268" s="28" t="s">
        <v>347</v>
      </c>
      <c r="L268" s="28" t="s">
        <v>361</v>
      </c>
    </row>
    <row r="269" spans="1:12">
      <c r="A269" s="28" t="s">
        <v>1212</v>
      </c>
      <c r="B269" s="28" t="s">
        <v>1213</v>
      </c>
      <c r="C269" s="28" t="s">
        <v>1214</v>
      </c>
      <c r="D269" s="47" t="s">
        <v>113</v>
      </c>
      <c r="E269" s="47" t="s">
        <v>136</v>
      </c>
      <c r="F269" s="28" t="s">
        <v>115</v>
      </c>
      <c r="G269" s="49" t="s">
        <v>1215</v>
      </c>
      <c r="H269" s="49" t="s">
        <v>141</v>
      </c>
      <c r="I269" s="28" t="s">
        <v>279</v>
      </c>
      <c r="J269" s="28" t="s">
        <v>520</v>
      </c>
      <c r="K269" s="28" t="s">
        <v>200</v>
      </c>
      <c r="L269" s="28" t="s">
        <v>361</v>
      </c>
    </row>
    <row r="270" spans="1:12">
      <c r="A270" s="28" t="s">
        <v>1216</v>
      </c>
      <c r="B270" s="28" t="s">
        <v>1217</v>
      </c>
      <c r="C270" s="28" t="s">
        <v>1218</v>
      </c>
      <c r="D270" s="47" t="s">
        <v>113</v>
      </c>
      <c r="E270" s="47" t="s">
        <v>365</v>
      </c>
      <c r="F270" s="28" t="s">
        <v>1219</v>
      </c>
      <c r="G270" s="49" t="s">
        <v>1220</v>
      </c>
      <c r="H270" s="49" t="s">
        <v>278</v>
      </c>
      <c r="I270" s="28" t="s">
        <v>1221</v>
      </c>
      <c r="J270" s="28" t="s">
        <v>223</v>
      </c>
      <c r="K270" s="28" t="s">
        <v>1222</v>
      </c>
      <c r="L270" s="28" t="s">
        <v>361</v>
      </c>
    </row>
    <row r="271" spans="1:12">
      <c r="A271" s="28" t="s">
        <v>1223</v>
      </c>
      <c r="B271" s="28" t="s">
        <v>1224</v>
      </c>
      <c r="C271" s="28" t="s">
        <v>1225</v>
      </c>
      <c r="D271" s="47" t="s">
        <v>113</v>
      </c>
      <c r="E271" s="47" t="s">
        <v>365</v>
      </c>
      <c r="F271" s="28" t="s">
        <v>115</v>
      </c>
      <c r="G271" s="49" t="s">
        <v>1226</v>
      </c>
      <c r="H271" s="49" t="s">
        <v>385</v>
      </c>
      <c r="I271" s="28" t="s">
        <v>1227</v>
      </c>
      <c r="J271" s="28" t="s">
        <v>443</v>
      </c>
      <c r="K271" s="28" t="s">
        <v>156</v>
      </c>
      <c r="L271" s="28" t="s">
        <v>361</v>
      </c>
    </row>
    <row r="272" spans="1:12">
      <c r="A272" s="28" t="s">
        <v>1228</v>
      </c>
      <c r="B272" s="28" t="s">
        <v>1229</v>
      </c>
      <c r="C272" s="28" t="s">
        <v>670</v>
      </c>
      <c r="D272" s="47" t="s">
        <v>113</v>
      </c>
      <c r="E272" s="47" t="s">
        <v>370</v>
      </c>
      <c r="F272" s="28" t="s">
        <v>115</v>
      </c>
      <c r="G272" s="49" t="s">
        <v>735</v>
      </c>
      <c r="H272" s="49" t="s">
        <v>525</v>
      </c>
      <c r="I272" s="28" t="s">
        <v>130</v>
      </c>
      <c r="J272" s="28" t="s">
        <v>200</v>
      </c>
      <c r="K272" s="28" t="s">
        <v>736</v>
      </c>
      <c r="L272" s="28" t="s">
        <v>131</v>
      </c>
    </row>
    <row r="273" spans="1:12">
      <c r="A273" s="28" t="s">
        <v>1230</v>
      </c>
      <c r="B273" s="28" t="s">
        <v>1231</v>
      </c>
      <c r="C273" s="28" t="s">
        <v>1232</v>
      </c>
      <c r="D273" s="47" t="s">
        <v>113</v>
      </c>
      <c r="E273" s="47" t="s">
        <v>365</v>
      </c>
      <c r="F273" s="28" t="s">
        <v>115</v>
      </c>
      <c r="G273" s="49" t="s">
        <v>1233</v>
      </c>
      <c r="H273" s="49" t="s">
        <v>1234</v>
      </c>
      <c r="I273" s="28" t="s">
        <v>1235</v>
      </c>
      <c r="J273" s="28" t="s">
        <v>520</v>
      </c>
      <c r="K273" s="28" t="s">
        <v>1236</v>
      </c>
      <c r="L273" s="28" t="s">
        <v>361</v>
      </c>
    </row>
    <row r="274" spans="1:12">
      <c r="A274" s="28" t="s">
        <v>1237</v>
      </c>
      <c r="B274" s="28" t="s">
        <v>1238</v>
      </c>
      <c r="C274" s="28" t="s">
        <v>260</v>
      </c>
      <c r="D274" s="47" t="s">
        <v>113</v>
      </c>
      <c r="E274" s="47" t="s">
        <v>213</v>
      </c>
      <c r="F274" s="28" t="s">
        <v>115</v>
      </c>
      <c r="G274" s="49" t="s">
        <v>1239</v>
      </c>
      <c r="H274" s="49" t="s">
        <v>794</v>
      </c>
      <c r="I274" s="28" t="s">
        <v>1240</v>
      </c>
      <c r="J274" s="28" t="s">
        <v>414</v>
      </c>
      <c r="K274" s="28" t="s">
        <v>347</v>
      </c>
      <c r="L274" s="28" t="s">
        <v>361</v>
      </c>
    </row>
    <row r="275" spans="1:12">
      <c r="A275" s="28" t="s">
        <v>1241</v>
      </c>
      <c r="B275" s="28" t="s">
        <v>1242</v>
      </c>
      <c r="C275" s="28" t="s">
        <v>260</v>
      </c>
      <c r="D275" s="47" t="s">
        <v>113</v>
      </c>
      <c r="E275" s="47" t="s">
        <v>213</v>
      </c>
      <c r="F275" s="28" t="s">
        <v>115</v>
      </c>
      <c r="G275" s="49" t="s">
        <v>1243</v>
      </c>
      <c r="H275" s="49" t="s">
        <v>794</v>
      </c>
      <c r="I275" s="28" t="s">
        <v>1244</v>
      </c>
      <c r="J275" s="28" t="s">
        <v>1245</v>
      </c>
      <c r="K275" s="28" t="s">
        <v>347</v>
      </c>
      <c r="L275" s="28" t="s">
        <v>361</v>
      </c>
    </row>
    <row r="276" spans="1:12">
      <c r="A276" s="28" t="s">
        <v>1246</v>
      </c>
      <c r="B276" s="28" t="s">
        <v>1247</v>
      </c>
      <c r="C276" s="28" t="s">
        <v>1248</v>
      </c>
      <c r="D276" s="47" t="s">
        <v>113</v>
      </c>
      <c r="E276" s="47" t="s">
        <v>136</v>
      </c>
      <c r="F276" s="28" t="s">
        <v>115</v>
      </c>
      <c r="G276" s="49" t="s">
        <v>1249</v>
      </c>
      <c r="H276" s="49" t="s">
        <v>1250</v>
      </c>
      <c r="I276" s="28" t="s">
        <v>1251</v>
      </c>
      <c r="J276" s="28" t="s">
        <v>1004</v>
      </c>
      <c r="K276" s="28" t="s">
        <v>1147</v>
      </c>
      <c r="L276" s="28" t="s">
        <v>361</v>
      </c>
    </row>
    <row r="277" spans="1:12">
      <c r="A277" s="28" t="s">
        <v>1252</v>
      </c>
      <c r="B277" s="28" t="s">
        <v>1253</v>
      </c>
      <c r="C277" s="28" t="s">
        <v>219</v>
      </c>
      <c r="D277" s="47" t="s">
        <v>125</v>
      </c>
      <c r="E277" s="47" t="s">
        <v>115</v>
      </c>
      <c r="F277" s="28" t="s">
        <v>115</v>
      </c>
      <c r="G277" s="49" t="s">
        <v>1254</v>
      </c>
      <c r="H277" s="49" t="s">
        <v>584</v>
      </c>
      <c r="I277" s="28" t="s">
        <v>118</v>
      </c>
      <c r="J277" s="28" t="s">
        <v>1023</v>
      </c>
      <c r="K277" s="28" t="s">
        <v>1195</v>
      </c>
      <c r="L277" s="28" t="s">
        <v>361</v>
      </c>
    </row>
    <row r="278" spans="1:12">
      <c r="A278" s="28" t="s">
        <v>1255</v>
      </c>
      <c r="B278" s="28" t="s">
        <v>1256</v>
      </c>
      <c r="C278" s="28" t="s">
        <v>1257</v>
      </c>
      <c r="D278" s="47" t="s">
        <v>794</v>
      </c>
      <c r="E278" s="47" t="s">
        <v>223</v>
      </c>
      <c r="F278" s="28" t="s">
        <v>115</v>
      </c>
      <c r="G278" s="49" t="s">
        <v>1258</v>
      </c>
      <c r="H278" s="49" t="s">
        <v>190</v>
      </c>
      <c r="I278" s="28" t="s">
        <v>644</v>
      </c>
      <c r="J278" s="28" t="s">
        <v>147</v>
      </c>
      <c r="K278" s="28" t="s">
        <v>1259</v>
      </c>
      <c r="L278" s="28" t="s">
        <v>361</v>
      </c>
    </row>
    <row r="279" spans="1:12">
      <c r="A279" s="28" t="s">
        <v>1260</v>
      </c>
      <c r="B279" s="28" t="s">
        <v>1261</v>
      </c>
      <c r="C279" s="28" t="s">
        <v>1262</v>
      </c>
      <c r="D279" s="47" t="s">
        <v>177</v>
      </c>
      <c r="E279" s="47" t="s">
        <v>223</v>
      </c>
      <c r="F279" s="28" t="s">
        <v>115</v>
      </c>
      <c r="G279" s="49" t="s">
        <v>1263</v>
      </c>
      <c r="H279" s="49" t="s">
        <v>1264</v>
      </c>
      <c r="I279" s="28" t="s">
        <v>1108</v>
      </c>
      <c r="J279" s="28" t="s">
        <v>188</v>
      </c>
      <c r="K279" s="28" t="s">
        <v>1265</v>
      </c>
      <c r="L279" s="28" t="s">
        <v>361</v>
      </c>
    </row>
    <row r="280" spans="1:12">
      <c r="A280" s="28" t="s">
        <v>1266</v>
      </c>
      <c r="B280" s="28" t="s">
        <v>1267</v>
      </c>
      <c r="C280" s="28" t="s">
        <v>1262</v>
      </c>
      <c r="D280" s="47" t="s">
        <v>177</v>
      </c>
      <c r="E280" s="47" t="s">
        <v>223</v>
      </c>
      <c r="F280" s="28" t="s">
        <v>115</v>
      </c>
      <c r="G280" s="49" t="s">
        <v>1268</v>
      </c>
      <c r="H280" s="49" t="s">
        <v>1264</v>
      </c>
      <c r="I280" s="28" t="s">
        <v>1269</v>
      </c>
      <c r="J280" s="28" t="s">
        <v>1126</v>
      </c>
      <c r="K280" s="28" t="s">
        <v>1270</v>
      </c>
      <c r="L280" s="28" t="s">
        <v>361</v>
      </c>
    </row>
    <row r="281" spans="1:12">
      <c r="A281" s="28" t="s">
        <v>1271</v>
      </c>
      <c r="B281" s="28" t="s">
        <v>1272</v>
      </c>
      <c r="C281" s="28" t="s">
        <v>1273</v>
      </c>
      <c r="D281" s="47" t="s">
        <v>125</v>
      </c>
      <c r="E281" s="47" t="s">
        <v>1274</v>
      </c>
      <c r="F281" s="28" t="s">
        <v>115</v>
      </c>
      <c r="G281" s="49" t="s">
        <v>1275</v>
      </c>
      <c r="H281" s="49" t="s">
        <v>441</v>
      </c>
      <c r="I281" s="28" t="s">
        <v>1276</v>
      </c>
      <c r="J281" s="28" t="s">
        <v>394</v>
      </c>
      <c r="K281" s="28" t="s">
        <v>179</v>
      </c>
      <c r="L281" s="28" t="s">
        <v>131</v>
      </c>
    </row>
    <row r="282" spans="1:12">
      <c r="A282" s="28" t="s">
        <v>1277</v>
      </c>
      <c r="B282" s="28" t="s">
        <v>1278</v>
      </c>
      <c r="C282" s="28" t="s">
        <v>1273</v>
      </c>
      <c r="D282" s="47" t="s">
        <v>125</v>
      </c>
      <c r="E282" s="47" t="s">
        <v>1274</v>
      </c>
      <c r="F282" s="28" t="s">
        <v>115</v>
      </c>
      <c r="G282" s="49" t="s">
        <v>1279</v>
      </c>
      <c r="H282" s="49" t="s">
        <v>441</v>
      </c>
      <c r="I282" s="28" t="s">
        <v>1276</v>
      </c>
      <c r="J282" s="28" t="s">
        <v>782</v>
      </c>
      <c r="K282" s="28" t="s">
        <v>1280</v>
      </c>
      <c r="L282" s="28" t="s">
        <v>361</v>
      </c>
    </row>
    <row r="283" spans="1:12">
      <c r="A283" s="28" t="s">
        <v>1281</v>
      </c>
      <c r="B283" s="28" t="s">
        <v>1282</v>
      </c>
      <c r="C283" s="28" t="s">
        <v>1214</v>
      </c>
      <c r="D283" s="47" t="s">
        <v>113</v>
      </c>
      <c r="E283" s="47" t="s">
        <v>136</v>
      </c>
      <c r="F283" s="28" t="s">
        <v>115</v>
      </c>
      <c r="G283" s="49" t="s">
        <v>1283</v>
      </c>
      <c r="H283" s="49" t="s">
        <v>511</v>
      </c>
      <c r="I283" s="28" t="s">
        <v>1235</v>
      </c>
      <c r="J283" s="28" t="s">
        <v>188</v>
      </c>
      <c r="K283" s="28" t="s">
        <v>1141</v>
      </c>
      <c r="L283" s="28" t="s">
        <v>361</v>
      </c>
    </row>
    <row r="284" spans="1:12">
      <c r="A284" s="28" t="s">
        <v>1284</v>
      </c>
      <c r="B284" s="28" t="s">
        <v>1285</v>
      </c>
      <c r="C284" s="28" t="s">
        <v>1248</v>
      </c>
      <c r="D284" s="47" t="s">
        <v>113</v>
      </c>
      <c r="E284" s="47" t="s">
        <v>136</v>
      </c>
      <c r="F284" s="28" t="s">
        <v>115</v>
      </c>
      <c r="G284" s="49" t="s">
        <v>1249</v>
      </c>
      <c r="H284" s="49" t="s">
        <v>1250</v>
      </c>
      <c r="I284" s="28" t="s">
        <v>1251</v>
      </c>
      <c r="J284" s="28" t="s">
        <v>1004</v>
      </c>
      <c r="K284" s="28" t="s">
        <v>1147</v>
      </c>
      <c r="L284" s="28" t="s">
        <v>361</v>
      </c>
    </row>
    <row r="285" spans="1:12">
      <c r="A285" s="28" t="s">
        <v>1286</v>
      </c>
      <c r="B285" s="28" t="s">
        <v>1287</v>
      </c>
      <c r="C285" s="28" t="s">
        <v>112</v>
      </c>
      <c r="D285" s="47" t="s">
        <v>113</v>
      </c>
      <c r="E285" s="47" t="s">
        <v>284</v>
      </c>
      <c r="F285" s="28" t="s">
        <v>115</v>
      </c>
      <c r="G285" s="49" t="s">
        <v>1288</v>
      </c>
      <c r="H285" s="49" t="s">
        <v>138</v>
      </c>
      <c r="I285" s="28" t="s">
        <v>1289</v>
      </c>
      <c r="J285" s="28" t="s">
        <v>1270</v>
      </c>
      <c r="K285" s="28" t="s">
        <v>1290</v>
      </c>
      <c r="L285" s="28" t="s">
        <v>361</v>
      </c>
    </row>
    <row r="286" spans="1:12">
      <c r="A286" s="28" t="s">
        <v>1291</v>
      </c>
      <c r="B286" s="28" t="s">
        <v>1292</v>
      </c>
      <c r="C286" s="28" t="s">
        <v>364</v>
      </c>
      <c r="D286" s="47" t="s">
        <v>160</v>
      </c>
      <c r="E286" s="47" t="s">
        <v>115</v>
      </c>
      <c r="F286" s="28" t="s">
        <v>115</v>
      </c>
      <c r="G286" s="49" t="s">
        <v>270</v>
      </c>
      <c r="H286" s="49" t="s">
        <v>157</v>
      </c>
      <c r="I286" s="28" t="s">
        <v>115</v>
      </c>
      <c r="J286" s="28" t="s">
        <v>115</v>
      </c>
      <c r="K286" s="28" t="s">
        <v>115</v>
      </c>
      <c r="L286" s="28" t="s">
        <v>115</v>
      </c>
    </row>
    <row r="287" spans="1:12">
      <c r="A287" s="28" t="s">
        <v>1293</v>
      </c>
      <c r="B287" s="28" t="s">
        <v>1294</v>
      </c>
      <c r="C287" s="28" t="s">
        <v>235</v>
      </c>
      <c r="D287" s="47" t="s">
        <v>113</v>
      </c>
      <c r="E287" s="47" t="s">
        <v>284</v>
      </c>
      <c r="F287" s="28" t="s">
        <v>115</v>
      </c>
      <c r="G287" s="49" t="s">
        <v>1288</v>
      </c>
      <c r="H287" s="49" t="s">
        <v>697</v>
      </c>
      <c r="I287" s="28" t="s">
        <v>1289</v>
      </c>
      <c r="J287" s="28" t="s">
        <v>1270</v>
      </c>
      <c r="K287" s="28" t="s">
        <v>1290</v>
      </c>
      <c r="L287" s="28" t="s">
        <v>115</v>
      </c>
    </row>
    <row r="288" spans="1:12">
      <c r="A288" s="28" t="s">
        <v>1295</v>
      </c>
      <c r="B288" s="28" t="s">
        <v>1296</v>
      </c>
      <c r="C288" s="28" t="s">
        <v>1193</v>
      </c>
      <c r="D288" s="47" t="s">
        <v>113</v>
      </c>
      <c r="E288" s="47" t="s">
        <v>893</v>
      </c>
      <c r="F288" s="28" t="s">
        <v>115</v>
      </c>
      <c r="G288" s="49" t="s">
        <v>1194</v>
      </c>
      <c r="H288" s="49" t="s">
        <v>1297</v>
      </c>
      <c r="I288" s="28" t="s">
        <v>130</v>
      </c>
      <c r="J288" s="28" t="s">
        <v>1195</v>
      </c>
      <c r="K288" s="28" t="s">
        <v>1167</v>
      </c>
      <c r="L288" s="28" t="s">
        <v>115</v>
      </c>
    </row>
    <row r="289" spans="1:12">
      <c r="A289" s="28" t="s">
        <v>1298</v>
      </c>
      <c r="B289" s="28" t="s">
        <v>1299</v>
      </c>
      <c r="C289" s="28" t="s">
        <v>219</v>
      </c>
      <c r="D289" s="47" t="s">
        <v>125</v>
      </c>
      <c r="E289" s="47" t="s">
        <v>115</v>
      </c>
      <c r="F289" s="28" t="s">
        <v>115</v>
      </c>
      <c r="G289" s="49" t="s">
        <v>115</v>
      </c>
      <c r="H289" s="49" t="s">
        <v>115</v>
      </c>
      <c r="I289" s="28" t="s">
        <v>115</v>
      </c>
      <c r="J289" s="28" t="s">
        <v>115</v>
      </c>
      <c r="K289" s="28" t="s">
        <v>115</v>
      </c>
      <c r="L289" s="28" t="s">
        <v>115</v>
      </c>
    </row>
    <row r="290" spans="1:12">
      <c r="A290" s="28" t="s">
        <v>1300</v>
      </c>
      <c r="B290" s="28" t="s">
        <v>1301</v>
      </c>
      <c r="C290" s="28" t="s">
        <v>1232</v>
      </c>
      <c r="D290" s="47" t="s">
        <v>113</v>
      </c>
      <c r="E290" s="47" t="s">
        <v>115</v>
      </c>
      <c r="F290" s="28" t="s">
        <v>115</v>
      </c>
      <c r="G290" s="49" t="s">
        <v>115</v>
      </c>
      <c r="H290" s="49" t="s">
        <v>115</v>
      </c>
      <c r="I290" s="28" t="s">
        <v>115</v>
      </c>
      <c r="J290" s="28" t="s">
        <v>115</v>
      </c>
      <c r="K290" s="28" t="s">
        <v>115</v>
      </c>
      <c r="L290" s="28" t="s">
        <v>115</v>
      </c>
    </row>
    <row r="291" spans="1:12">
      <c r="A291" s="28" t="s">
        <v>1302</v>
      </c>
      <c r="B291" s="28" t="s">
        <v>1303</v>
      </c>
      <c r="C291" s="28" t="s">
        <v>1248</v>
      </c>
      <c r="D291" s="47" t="s">
        <v>113</v>
      </c>
      <c r="E291" s="47" t="s">
        <v>115</v>
      </c>
      <c r="F291" s="28" t="s">
        <v>115</v>
      </c>
      <c r="G291" s="49" t="s">
        <v>115</v>
      </c>
      <c r="H291" s="49" t="s">
        <v>115</v>
      </c>
      <c r="I291" s="28" t="s">
        <v>115</v>
      </c>
      <c r="J291" s="28" t="s">
        <v>115</v>
      </c>
      <c r="K291" s="28" t="s">
        <v>115</v>
      </c>
      <c r="L291" s="28" t="s">
        <v>115</v>
      </c>
    </row>
    <row r="292" spans="1:12">
      <c r="A292" s="28" t="s">
        <v>1304</v>
      </c>
      <c r="B292" s="28" t="s">
        <v>1305</v>
      </c>
      <c r="C292" s="28" t="s">
        <v>1248</v>
      </c>
      <c r="D292" s="47" t="s">
        <v>113</v>
      </c>
      <c r="E292" s="47" t="s">
        <v>115</v>
      </c>
      <c r="F292" s="28" t="s">
        <v>115</v>
      </c>
      <c r="G292" s="49" t="s">
        <v>115</v>
      </c>
      <c r="H292" s="49" t="s">
        <v>115</v>
      </c>
      <c r="I292" s="28" t="s">
        <v>115</v>
      </c>
      <c r="J292" s="28" t="s">
        <v>115</v>
      </c>
      <c r="K292" s="28" t="s">
        <v>115</v>
      </c>
      <c r="L292" s="28" t="s">
        <v>115</v>
      </c>
    </row>
    <row r="293" spans="1:12">
      <c r="A293" s="28" t="s">
        <v>1306</v>
      </c>
      <c r="B293" s="28" t="s">
        <v>1307</v>
      </c>
      <c r="C293" s="28" t="s">
        <v>219</v>
      </c>
      <c r="D293" s="47" t="s">
        <v>125</v>
      </c>
      <c r="E293" s="47" t="s">
        <v>126</v>
      </c>
      <c r="F293" s="28" t="s">
        <v>518</v>
      </c>
      <c r="G293" s="49" t="s">
        <v>115</v>
      </c>
      <c r="H293" s="49" t="s">
        <v>115</v>
      </c>
      <c r="I293" s="28" t="s">
        <v>115</v>
      </c>
      <c r="J293" s="28" t="s">
        <v>115</v>
      </c>
      <c r="K293" s="28" t="s">
        <v>115</v>
      </c>
      <c r="L293" s="28" t="s">
        <v>115</v>
      </c>
    </row>
    <row r="294" spans="1:12">
      <c r="A294" s="28" t="s">
        <v>1308</v>
      </c>
      <c r="B294" s="28" t="s">
        <v>1309</v>
      </c>
      <c r="C294" s="28" t="s">
        <v>1310</v>
      </c>
      <c r="D294" s="47" t="s">
        <v>895</v>
      </c>
      <c r="E294" s="47" t="s">
        <v>136</v>
      </c>
      <c r="F294" s="28" t="s">
        <v>115</v>
      </c>
      <c r="G294" s="49" t="s">
        <v>1311</v>
      </c>
      <c r="H294" s="49" t="s">
        <v>1312</v>
      </c>
      <c r="I294" s="28" t="s">
        <v>264</v>
      </c>
      <c r="J294" s="28" t="s">
        <v>130</v>
      </c>
      <c r="K294" s="28" t="s">
        <v>130</v>
      </c>
      <c r="L294" s="28" t="s">
        <v>115</v>
      </c>
    </row>
    <row r="295" spans="1:12">
      <c r="A295" s="28" t="s">
        <v>1313</v>
      </c>
      <c r="B295" s="28" t="s">
        <v>1314</v>
      </c>
      <c r="C295" s="28" t="s">
        <v>112</v>
      </c>
      <c r="D295" s="47" t="s">
        <v>113</v>
      </c>
      <c r="E295" s="47" t="s">
        <v>284</v>
      </c>
      <c r="F295" s="28" t="s">
        <v>115</v>
      </c>
      <c r="G295" s="49" t="s">
        <v>1315</v>
      </c>
      <c r="H295" s="49" t="s">
        <v>401</v>
      </c>
      <c r="I295" s="28" t="s">
        <v>1204</v>
      </c>
      <c r="J295" s="28" t="s">
        <v>820</v>
      </c>
      <c r="K295" s="28" t="s">
        <v>672</v>
      </c>
      <c r="L295" s="28" t="s">
        <v>115</v>
      </c>
    </row>
    <row r="296" spans="1:12">
      <c r="A296" s="28" t="s">
        <v>1316</v>
      </c>
      <c r="B296" s="28" t="s">
        <v>1317</v>
      </c>
      <c r="C296" s="28" t="s">
        <v>112</v>
      </c>
      <c r="D296" s="47" t="s">
        <v>113</v>
      </c>
      <c r="E296" s="47" t="s">
        <v>284</v>
      </c>
      <c r="F296" s="28" t="s">
        <v>115</v>
      </c>
      <c r="G296" s="49" t="s">
        <v>1315</v>
      </c>
      <c r="H296" s="49" t="s">
        <v>401</v>
      </c>
      <c r="I296" s="28" t="s">
        <v>1204</v>
      </c>
      <c r="J296" s="28" t="s">
        <v>820</v>
      </c>
      <c r="K296" s="28" t="s">
        <v>672</v>
      </c>
      <c r="L296" s="28" t="s">
        <v>115</v>
      </c>
    </row>
    <row r="297" spans="1:12">
      <c r="A297" s="28" t="s">
        <v>1318</v>
      </c>
      <c r="B297" s="28" t="s">
        <v>1319</v>
      </c>
      <c r="C297" s="28" t="s">
        <v>245</v>
      </c>
      <c r="D297" s="47" t="s">
        <v>125</v>
      </c>
      <c r="E297" s="47" t="s">
        <v>365</v>
      </c>
      <c r="F297" s="28" t="s">
        <v>115</v>
      </c>
      <c r="G297" s="49" t="s">
        <v>1320</v>
      </c>
      <c r="H297" s="49" t="s">
        <v>688</v>
      </c>
      <c r="I297" s="28" t="s">
        <v>146</v>
      </c>
      <c r="J297" s="28" t="s">
        <v>188</v>
      </c>
      <c r="K297" s="28" t="s">
        <v>551</v>
      </c>
      <c r="L297" s="28" t="s">
        <v>361</v>
      </c>
    </row>
    <row r="298" spans="1:12">
      <c r="A298" s="28" t="s">
        <v>1321</v>
      </c>
      <c r="B298" s="28" t="s">
        <v>1322</v>
      </c>
      <c r="C298" s="28" t="s">
        <v>115</v>
      </c>
      <c r="D298" s="47" t="s">
        <v>115</v>
      </c>
      <c r="E298" s="47" t="s">
        <v>115</v>
      </c>
      <c r="F298" s="28" t="s">
        <v>115</v>
      </c>
      <c r="G298" s="49" t="s">
        <v>115</v>
      </c>
      <c r="H298" s="49" t="s">
        <v>115</v>
      </c>
      <c r="I298" s="28" t="s">
        <v>115</v>
      </c>
      <c r="J298" s="28" t="s">
        <v>115</v>
      </c>
      <c r="K298" s="28" t="s">
        <v>115</v>
      </c>
      <c r="L298" s="28" t="s">
        <v>115</v>
      </c>
    </row>
    <row r="299" spans="1:12">
      <c r="A299" s="28" t="s">
        <v>1323</v>
      </c>
      <c r="B299" s="28" t="s">
        <v>1324</v>
      </c>
      <c r="C299" s="28" t="s">
        <v>1325</v>
      </c>
      <c r="D299" s="47" t="s">
        <v>113</v>
      </c>
      <c r="E299" s="47" t="s">
        <v>213</v>
      </c>
      <c r="F299" s="28" t="s">
        <v>115</v>
      </c>
      <c r="G299" s="49" t="s">
        <v>1326</v>
      </c>
      <c r="H299" s="49" t="s">
        <v>1327</v>
      </c>
      <c r="I299" s="28" t="s">
        <v>146</v>
      </c>
      <c r="J299" s="28" t="s">
        <v>130</v>
      </c>
      <c r="K299" s="28" t="s">
        <v>974</v>
      </c>
      <c r="L299" s="28" t="s">
        <v>115</v>
      </c>
    </row>
    <row r="300" spans="1:12">
      <c r="A300" s="28" t="s">
        <v>1328</v>
      </c>
      <c r="B300" s="28" t="s">
        <v>1329</v>
      </c>
      <c r="C300" s="28" t="s">
        <v>1248</v>
      </c>
      <c r="D300" s="47" t="s">
        <v>113</v>
      </c>
      <c r="E300" s="47" t="s">
        <v>284</v>
      </c>
      <c r="F300" s="28" t="s">
        <v>115</v>
      </c>
      <c r="G300" s="49" t="s">
        <v>1330</v>
      </c>
      <c r="H300" s="49" t="s">
        <v>431</v>
      </c>
      <c r="I300" s="28" t="s">
        <v>591</v>
      </c>
      <c r="J300" s="28" t="s">
        <v>712</v>
      </c>
      <c r="K300" s="28" t="s">
        <v>147</v>
      </c>
      <c r="L300" s="28" t="s">
        <v>445</v>
      </c>
    </row>
    <row r="301" spans="1:12">
      <c r="A301" s="28" t="s">
        <v>1331</v>
      </c>
      <c r="B301" s="28" t="s">
        <v>1332</v>
      </c>
      <c r="C301" s="28" t="s">
        <v>1333</v>
      </c>
      <c r="D301" s="47" t="s">
        <v>113</v>
      </c>
      <c r="E301" s="47" t="s">
        <v>213</v>
      </c>
      <c r="F301" s="28" t="s">
        <v>115</v>
      </c>
      <c r="G301" s="49" t="s">
        <v>1326</v>
      </c>
      <c r="H301" s="49" t="s">
        <v>1327</v>
      </c>
      <c r="I301" s="28" t="s">
        <v>146</v>
      </c>
      <c r="J301" s="28" t="s">
        <v>130</v>
      </c>
      <c r="K301" s="28" t="s">
        <v>974</v>
      </c>
      <c r="L301" s="28" t="s">
        <v>115</v>
      </c>
    </row>
    <row r="302" spans="1:12">
      <c r="A302" s="28" t="s">
        <v>1334</v>
      </c>
      <c r="B302" s="28" t="s">
        <v>1335</v>
      </c>
      <c r="C302" s="28" t="s">
        <v>388</v>
      </c>
      <c r="D302" s="47" t="s">
        <v>113</v>
      </c>
      <c r="E302" s="47" t="s">
        <v>365</v>
      </c>
      <c r="F302" s="28" t="s">
        <v>115</v>
      </c>
      <c r="G302" s="49" t="s">
        <v>772</v>
      </c>
      <c r="H302" s="49" t="s">
        <v>1290</v>
      </c>
      <c r="I302" s="28" t="s">
        <v>345</v>
      </c>
      <c r="J302" s="28" t="s">
        <v>498</v>
      </c>
      <c r="K302" s="28" t="s">
        <v>200</v>
      </c>
      <c r="L302" s="28" t="s">
        <v>115</v>
      </c>
    </row>
    <row r="303" spans="1:12">
      <c r="A303" s="28" t="s">
        <v>1336</v>
      </c>
      <c r="B303" s="28" t="s">
        <v>1337</v>
      </c>
      <c r="C303" s="28" t="s">
        <v>364</v>
      </c>
      <c r="D303" s="47" t="s">
        <v>160</v>
      </c>
      <c r="E303" s="47" t="s">
        <v>365</v>
      </c>
      <c r="F303" s="28" t="s">
        <v>115</v>
      </c>
      <c r="G303" s="49" t="s">
        <v>270</v>
      </c>
      <c r="H303" s="49" t="s">
        <v>157</v>
      </c>
      <c r="I303" s="28" t="s">
        <v>271</v>
      </c>
      <c r="J303" s="28" t="s">
        <v>272</v>
      </c>
      <c r="K303" s="28" t="s">
        <v>208</v>
      </c>
      <c r="L303" s="28" t="s">
        <v>115</v>
      </c>
    </row>
    <row r="304" spans="1:12">
      <c r="A304" s="28" t="s">
        <v>1338</v>
      </c>
      <c r="B304" s="28" t="s">
        <v>1339</v>
      </c>
      <c r="C304" s="28" t="s">
        <v>364</v>
      </c>
      <c r="D304" s="47" t="s">
        <v>160</v>
      </c>
      <c r="E304" s="47" t="s">
        <v>365</v>
      </c>
      <c r="F304" s="28" t="s">
        <v>115</v>
      </c>
      <c r="G304" s="49" t="s">
        <v>270</v>
      </c>
      <c r="H304" s="49" t="s">
        <v>157</v>
      </c>
      <c r="I304" s="28" t="s">
        <v>271</v>
      </c>
      <c r="J304" s="28" t="s">
        <v>272</v>
      </c>
      <c r="K304" s="28" t="s">
        <v>208</v>
      </c>
      <c r="L304" s="28" t="s">
        <v>115</v>
      </c>
    </row>
    <row r="305" spans="1:12">
      <c r="A305" s="28" t="s">
        <v>1340</v>
      </c>
      <c r="B305" s="28" t="s">
        <v>1341</v>
      </c>
      <c r="C305" s="28" t="s">
        <v>1248</v>
      </c>
      <c r="D305" s="47" t="s">
        <v>113</v>
      </c>
      <c r="E305" s="47" t="s">
        <v>284</v>
      </c>
      <c r="F305" s="28" t="s">
        <v>115</v>
      </c>
      <c r="G305" s="49" t="s">
        <v>1330</v>
      </c>
      <c r="H305" s="49" t="s">
        <v>431</v>
      </c>
      <c r="I305" s="28" t="s">
        <v>591</v>
      </c>
      <c r="J305" s="28" t="s">
        <v>712</v>
      </c>
      <c r="K305" s="28" t="s">
        <v>147</v>
      </c>
      <c r="L305" s="28" t="s">
        <v>445</v>
      </c>
    </row>
    <row r="306" spans="1:12">
      <c r="A306" s="28" t="s">
        <v>1342</v>
      </c>
      <c r="B306" s="28" t="s">
        <v>1343</v>
      </c>
      <c r="C306" s="28" t="s">
        <v>364</v>
      </c>
      <c r="D306" s="47" t="s">
        <v>160</v>
      </c>
      <c r="E306" s="47" t="s">
        <v>365</v>
      </c>
      <c r="F306" s="28" t="s">
        <v>115</v>
      </c>
      <c r="G306" s="49" t="s">
        <v>270</v>
      </c>
      <c r="H306" s="49" t="s">
        <v>157</v>
      </c>
      <c r="I306" s="28" t="s">
        <v>271</v>
      </c>
      <c r="J306" s="28" t="s">
        <v>272</v>
      </c>
      <c r="K306" s="28" t="s">
        <v>208</v>
      </c>
      <c r="L306" s="28" t="s">
        <v>115</v>
      </c>
    </row>
    <row r="307" spans="1:12">
      <c r="A307" s="28" t="s">
        <v>1344</v>
      </c>
      <c r="B307" s="28" t="s">
        <v>1345</v>
      </c>
      <c r="C307" s="28" t="s">
        <v>275</v>
      </c>
      <c r="D307" s="47" t="s">
        <v>113</v>
      </c>
      <c r="E307" s="47" t="s">
        <v>136</v>
      </c>
      <c r="F307" s="28" t="s">
        <v>115</v>
      </c>
      <c r="G307" s="49" t="s">
        <v>1346</v>
      </c>
      <c r="H307" s="49" t="s">
        <v>278</v>
      </c>
      <c r="I307" s="28" t="s">
        <v>1062</v>
      </c>
      <c r="J307" s="28" t="s">
        <v>439</v>
      </c>
      <c r="K307" s="28" t="s">
        <v>257</v>
      </c>
      <c r="L307" s="28" t="s">
        <v>115</v>
      </c>
    </row>
    <row r="308" spans="1:12">
      <c r="A308" s="28" t="s">
        <v>1347</v>
      </c>
      <c r="B308" s="28" t="s">
        <v>1348</v>
      </c>
      <c r="C308" s="28" t="s">
        <v>219</v>
      </c>
      <c r="D308" s="47" t="s">
        <v>125</v>
      </c>
      <c r="E308" s="47" t="s">
        <v>252</v>
      </c>
      <c r="F308" s="28" t="s">
        <v>115</v>
      </c>
      <c r="G308" s="49" t="s">
        <v>1349</v>
      </c>
      <c r="H308" s="49" t="s">
        <v>148</v>
      </c>
      <c r="I308" s="28" t="s">
        <v>264</v>
      </c>
      <c r="J308" s="28" t="s">
        <v>498</v>
      </c>
      <c r="K308" s="28" t="s">
        <v>1350</v>
      </c>
      <c r="L308" s="28" t="s">
        <v>131</v>
      </c>
    </row>
    <row r="309" spans="1:12">
      <c r="A309" s="28" t="s">
        <v>1351</v>
      </c>
      <c r="B309" s="28" t="s">
        <v>1352</v>
      </c>
      <c r="C309" s="28" t="s">
        <v>1207</v>
      </c>
      <c r="D309" s="47" t="s">
        <v>113</v>
      </c>
      <c r="E309" s="47" t="s">
        <v>213</v>
      </c>
      <c r="F309" s="28" t="s">
        <v>115</v>
      </c>
      <c r="G309" s="49" t="s">
        <v>1353</v>
      </c>
      <c r="H309" s="49" t="s">
        <v>794</v>
      </c>
      <c r="I309" s="28" t="s">
        <v>1244</v>
      </c>
      <c r="J309" s="28" t="s">
        <v>820</v>
      </c>
      <c r="K309" s="28" t="s">
        <v>257</v>
      </c>
      <c r="L309" s="28" t="s">
        <v>131</v>
      </c>
    </row>
    <row r="310" spans="1:12">
      <c r="A310" s="28" t="s">
        <v>1354</v>
      </c>
      <c r="B310" s="28" t="s">
        <v>1355</v>
      </c>
      <c r="C310" s="28" t="s">
        <v>242</v>
      </c>
      <c r="D310" s="47" t="s">
        <v>113</v>
      </c>
      <c r="E310" s="47" t="s">
        <v>1356</v>
      </c>
      <c r="F310" s="28" t="s">
        <v>115</v>
      </c>
      <c r="G310" s="49" t="s">
        <v>1357</v>
      </c>
      <c r="H310" s="49" t="s">
        <v>1358</v>
      </c>
      <c r="I310" s="28" t="s">
        <v>280</v>
      </c>
      <c r="J310" s="28" t="s">
        <v>200</v>
      </c>
      <c r="K310" s="28" t="s">
        <v>1359</v>
      </c>
      <c r="L310" s="28" t="s">
        <v>361</v>
      </c>
    </row>
    <row r="311" spans="1:12">
      <c r="A311" s="28" t="s">
        <v>1360</v>
      </c>
      <c r="B311" s="28" t="s">
        <v>1361</v>
      </c>
      <c r="C311" s="28" t="s">
        <v>706</v>
      </c>
      <c r="D311" s="47" t="s">
        <v>113</v>
      </c>
      <c r="E311" s="47" t="s">
        <v>114</v>
      </c>
      <c r="F311" s="28" t="s">
        <v>115</v>
      </c>
      <c r="G311" s="49" t="s">
        <v>1362</v>
      </c>
      <c r="H311" s="49" t="s">
        <v>1072</v>
      </c>
      <c r="I311" s="28" t="s">
        <v>1274</v>
      </c>
      <c r="J311" s="28" t="s">
        <v>130</v>
      </c>
      <c r="K311" s="28" t="s">
        <v>526</v>
      </c>
      <c r="L311" s="28" t="s">
        <v>131</v>
      </c>
    </row>
    <row r="312" spans="1:12">
      <c r="A312" s="28" t="s">
        <v>1363</v>
      </c>
      <c r="B312" s="28" t="s">
        <v>1364</v>
      </c>
      <c r="C312" s="28" t="s">
        <v>1365</v>
      </c>
      <c r="D312" s="47" t="s">
        <v>125</v>
      </c>
      <c r="E312" s="47" t="s">
        <v>261</v>
      </c>
      <c r="F312" s="28" t="s">
        <v>115</v>
      </c>
      <c r="G312" s="49" t="s">
        <v>1366</v>
      </c>
      <c r="H312" s="49" t="s">
        <v>148</v>
      </c>
      <c r="I312" s="28" t="s">
        <v>1367</v>
      </c>
      <c r="J312" s="28" t="s">
        <v>216</v>
      </c>
      <c r="K312" s="28" t="s">
        <v>1190</v>
      </c>
      <c r="L312" s="28" t="s">
        <v>121</v>
      </c>
    </row>
    <row r="313" spans="1:12">
      <c r="A313" s="28" t="s">
        <v>1368</v>
      </c>
      <c r="B313" s="28" t="s">
        <v>1369</v>
      </c>
      <c r="C313" s="28" t="s">
        <v>1370</v>
      </c>
      <c r="D313" s="47" t="s">
        <v>125</v>
      </c>
      <c r="E313" s="47" t="s">
        <v>261</v>
      </c>
      <c r="F313" s="28" t="s">
        <v>115</v>
      </c>
      <c r="G313" s="49" t="s">
        <v>1371</v>
      </c>
      <c r="H313" s="49" t="s">
        <v>557</v>
      </c>
      <c r="I313" s="28" t="s">
        <v>1367</v>
      </c>
      <c r="J313" s="28" t="s">
        <v>498</v>
      </c>
      <c r="K313" s="28" t="s">
        <v>736</v>
      </c>
      <c r="L313" s="28" t="s">
        <v>121</v>
      </c>
    </row>
    <row r="314" spans="1:12">
      <c r="A314" s="28" t="s">
        <v>1372</v>
      </c>
      <c r="B314" s="28" t="s">
        <v>1373</v>
      </c>
      <c r="C314" s="28" t="s">
        <v>1374</v>
      </c>
      <c r="D314" s="47" t="s">
        <v>794</v>
      </c>
      <c r="E314" s="47" t="s">
        <v>261</v>
      </c>
      <c r="F314" s="28" t="s">
        <v>115</v>
      </c>
      <c r="G314" s="49" t="s">
        <v>1375</v>
      </c>
      <c r="H314" s="49" t="s">
        <v>557</v>
      </c>
      <c r="I314" s="28" t="s">
        <v>1376</v>
      </c>
      <c r="J314" s="28" t="s">
        <v>256</v>
      </c>
      <c r="K314" s="28" t="s">
        <v>113</v>
      </c>
      <c r="L314" s="28" t="s">
        <v>121</v>
      </c>
    </row>
    <row r="315" spans="1:12">
      <c r="A315" s="28" t="s">
        <v>1377</v>
      </c>
      <c r="B315" s="28" t="s">
        <v>1378</v>
      </c>
      <c r="C315" s="28" t="s">
        <v>1379</v>
      </c>
      <c r="D315" s="47" t="s">
        <v>794</v>
      </c>
      <c r="E315" s="47" t="s">
        <v>261</v>
      </c>
      <c r="F315" s="28" t="s">
        <v>115</v>
      </c>
      <c r="G315" s="49" t="s">
        <v>1380</v>
      </c>
      <c r="H315" s="49" t="s">
        <v>557</v>
      </c>
      <c r="I315" s="28" t="s">
        <v>1381</v>
      </c>
      <c r="J315" s="28" t="s">
        <v>130</v>
      </c>
      <c r="K315" s="28" t="s">
        <v>1186</v>
      </c>
      <c r="L315" s="28" t="s">
        <v>121</v>
      </c>
    </row>
    <row r="316" spans="1:12">
      <c r="A316" s="28" t="s">
        <v>1382</v>
      </c>
      <c r="B316" s="28" t="s">
        <v>1383</v>
      </c>
      <c r="C316" s="28" t="s">
        <v>112</v>
      </c>
      <c r="D316" s="47" t="s">
        <v>113</v>
      </c>
      <c r="E316" s="47" t="s">
        <v>823</v>
      </c>
      <c r="F316" s="28" t="s">
        <v>115</v>
      </c>
      <c r="G316" s="49" t="s">
        <v>1384</v>
      </c>
      <c r="H316" s="49" t="s">
        <v>1385</v>
      </c>
      <c r="I316" s="28" t="s">
        <v>130</v>
      </c>
      <c r="J316" s="28" t="s">
        <v>1147</v>
      </c>
      <c r="K316" s="28" t="s">
        <v>875</v>
      </c>
      <c r="L316" s="28" t="s">
        <v>568</v>
      </c>
    </row>
    <row r="317" spans="1:12">
      <c r="A317" s="28" t="s">
        <v>1386</v>
      </c>
      <c r="B317" s="28" t="s">
        <v>1387</v>
      </c>
      <c r="C317" s="28" t="s">
        <v>275</v>
      </c>
      <c r="D317" s="47" t="s">
        <v>113</v>
      </c>
      <c r="E317" s="47" t="s">
        <v>227</v>
      </c>
      <c r="F317" s="28" t="s">
        <v>115</v>
      </c>
      <c r="G317" s="49" t="s">
        <v>1388</v>
      </c>
      <c r="H317" s="49" t="s">
        <v>278</v>
      </c>
      <c r="I317" s="28" t="s">
        <v>264</v>
      </c>
      <c r="J317" s="28" t="s">
        <v>1045</v>
      </c>
      <c r="K317" s="28" t="s">
        <v>769</v>
      </c>
      <c r="L317" s="28" t="s">
        <v>131</v>
      </c>
    </row>
    <row r="318" spans="1:12">
      <c r="A318" s="28" t="s">
        <v>1389</v>
      </c>
      <c r="B318" s="28" t="s">
        <v>1390</v>
      </c>
      <c r="C318" s="28" t="s">
        <v>219</v>
      </c>
      <c r="D318" s="47" t="s">
        <v>125</v>
      </c>
      <c r="E318" s="47" t="s">
        <v>252</v>
      </c>
      <c r="F318" s="28" t="s">
        <v>115</v>
      </c>
      <c r="G318" s="49" t="s">
        <v>1349</v>
      </c>
      <c r="H318" s="49" t="s">
        <v>148</v>
      </c>
      <c r="I318" s="28" t="s">
        <v>264</v>
      </c>
      <c r="J318" s="28" t="s">
        <v>498</v>
      </c>
      <c r="K318" s="28" t="s">
        <v>1350</v>
      </c>
      <c r="L318" s="28" t="s">
        <v>131</v>
      </c>
    </row>
    <row r="319" spans="1:12">
      <c r="A319" s="28" t="s">
        <v>1391</v>
      </c>
      <c r="B319" s="28" t="s">
        <v>1392</v>
      </c>
      <c r="C319" s="28" t="s">
        <v>219</v>
      </c>
      <c r="D319" s="47" t="s">
        <v>125</v>
      </c>
      <c r="E319" s="47" t="s">
        <v>252</v>
      </c>
      <c r="F319" s="28" t="s">
        <v>115</v>
      </c>
      <c r="G319" s="49" t="s">
        <v>1393</v>
      </c>
      <c r="H319" s="49" t="s">
        <v>222</v>
      </c>
      <c r="I319" s="28" t="s">
        <v>453</v>
      </c>
      <c r="J319" s="28" t="s">
        <v>481</v>
      </c>
      <c r="K319" s="28" t="s">
        <v>167</v>
      </c>
      <c r="L319" s="28" t="s">
        <v>131</v>
      </c>
    </row>
    <row r="320" spans="1:12">
      <c r="A320" s="28" t="s">
        <v>1394</v>
      </c>
      <c r="B320" s="28" t="s">
        <v>1395</v>
      </c>
      <c r="C320" s="28" t="s">
        <v>670</v>
      </c>
      <c r="D320" s="47" t="s">
        <v>113</v>
      </c>
      <c r="E320" s="47" t="s">
        <v>370</v>
      </c>
      <c r="F320" s="28" t="s">
        <v>115</v>
      </c>
      <c r="G320" s="49" t="s">
        <v>1396</v>
      </c>
      <c r="H320" s="49" t="s">
        <v>903</v>
      </c>
      <c r="I320" s="28" t="s">
        <v>216</v>
      </c>
      <c r="J320" s="28" t="s">
        <v>896</v>
      </c>
      <c r="K320" s="28" t="s">
        <v>480</v>
      </c>
      <c r="L320" s="28" t="s">
        <v>131</v>
      </c>
    </row>
    <row r="321" spans="1:12">
      <c r="A321" s="28" t="s">
        <v>1397</v>
      </c>
      <c r="B321" s="28" t="s">
        <v>1398</v>
      </c>
      <c r="C321" s="28" t="s">
        <v>1207</v>
      </c>
      <c r="D321" s="47" t="s">
        <v>113</v>
      </c>
      <c r="E321" s="47" t="s">
        <v>213</v>
      </c>
      <c r="F321" s="28" t="s">
        <v>115</v>
      </c>
      <c r="G321" s="49" t="s">
        <v>1399</v>
      </c>
      <c r="H321" s="49" t="s">
        <v>794</v>
      </c>
      <c r="I321" s="28" t="s">
        <v>1200</v>
      </c>
      <c r="J321" s="28" t="s">
        <v>157</v>
      </c>
      <c r="K321" s="28" t="s">
        <v>1073</v>
      </c>
      <c r="L321" s="28" t="s">
        <v>131</v>
      </c>
    </row>
    <row r="322" spans="1:12">
      <c r="A322" s="28" t="s">
        <v>1400</v>
      </c>
      <c r="B322" s="28" t="s">
        <v>1401</v>
      </c>
      <c r="C322" s="28" t="s">
        <v>1207</v>
      </c>
      <c r="D322" s="47" t="s">
        <v>113</v>
      </c>
      <c r="E322" s="47" t="s">
        <v>213</v>
      </c>
      <c r="F322" s="28" t="s">
        <v>115</v>
      </c>
      <c r="G322" s="49" t="s">
        <v>1239</v>
      </c>
      <c r="H322" s="49" t="s">
        <v>794</v>
      </c>
      <c r="I322" s="28" t="s">
        <v>1240</v>
      </c>
      <c r="J322" s="28" t="s">
        <v>414</v>
      </c>
      <c r="K322" s="28" t="s">
        <v>347</v>
      </c>
      <c r="L322" s="28" t="s">
        <v>361</v>
      </c>
    </row>
    <row r="323" spans="1:12">
      <c r="A323" s="28" t="s">
        <v>1402</v>
      </c>
      <c r="B323" s="28" t="s">
        <v>1403</v>
      </c>
      <c r="C323" s="28" t="s">
        <v>1404</v>
      </c>
      <c r="D323" s="47" t="s">
        <v>113</v>
      </c>
      <c r="E323" s="47" t="s">
        <v>213</v>
      </c>
      <c r="F323" s="28" t="s">
        <v>115</v>
      </c>
      <c r="G323" s="49" t="s">
        <v>1353</v>
      </c>
      <c r="H323" s="49" t="s">
        <v>1405</v>
      </c>
      <c r="I323" s="28" t="s">
        <v>1244</v>
      </c>
      <c r="J323" s="28" t="s">
        <v>820</v>
      </c>
      <c r="K323" s="28" t="s">
        <v>257</v>
      </c>
      <c r="L323" s="28" t="s">
        <v>131</v>
      </c>
    </row>
    <row r="324" spans="1:12">
      <c r="A324" s="28" t="s">
        <v>1406</v>
      </c>
      <c r="B324" s="28" t="s">
        <v>1407</v>
      </c>
      <c r="C324" s="28" t="s">
        <v>1408</v>
      </c>
      <c r="D324" s="47" t="s">
        <v>113</v>
      </c>
      <c r="E324" s="47" t="s">
        <v>213</v>
      </c>
      <c r="F324" s="28" t="s">
        <v>115</v>
      </c>
      <c r="G324" s="49" t="s">
        <v>1353</v>
      </c>
      <c r="H324" s="49" t="s">
        <v>1405</v>
      </c>
      <c r="I324" s="28" t="s">
        <v>1244</v>
      </c>
      <c r="J324" s="28" t="s">
        <v>820</v>
      </c>
      <c r="K324" s="28" t="s">
        <v>257</v>
      </c>
      <c r="L324" s="28" t="s">
        <v>131</v>
      </c>
    </row>
    <row r="325" spans="1:12">
      <c r="A325" s="28" t="s">
        <v>1409</v>
      </c>
      <c r="B325" s="28" t="s">
        <v>1410</v>
      </c>
      <c r="C325" s="28" t="s">
        <v>235</v>
      </c>
      <c r="D325" s="47" t="s">
        <v>113</v>
      </c>
      <c r="E325" s="47" t="s">
        <v>213</v>
      </c>
      <c r="F325" s="28" t="s">
        <v>115</v>
      </c>
      <c r="G325" s="49" t="s">
        <v>1399</v>
      </c>
      <c r="H325" s="49" t="s">
        <v>239</v>
      </c>
      <c r="I325" s="28" t="s">
        <v>1200</v>
      </c>
      <c r="J325" s="28" t="s">
        <v>157</v>
      </c>
      <c r="K325" s="28" t="s">
        <v>1073</v>
      </c>
      <c r="L325" s="28" t="s">
        <v>131</v>
      </c>
    </row>
    <row r="326" spans="1:12">
      <c r="A326" s="28" t="s">
        <v>1411</v>
      </c>
      <c r="B326" s="28" t="s">
        <v>1412</v>
      </c>
      <c r="C326" s="28" t="s">
        <v>260</v>
      </c>
      <c r="D326" s="47" t="s">
        <v>113</v>
      </c>
      <c r="E326" s="47" t="s">
        <v>213</v>
      </c>
      <c r="F326" s="28" t="s">
        <v>115</v>
      </c>
      <c r="G326" s="49" t="s">
        <v>1413</v>
      </c>
      <c r="H326" s="49" t="s">
        <v>794</v>
      </c>
      <c r="I326" s="28" t="s">
        <v>1414</v>
      </c>
      <c r="J326" s="28" t="s">
        <v>157</v>
      </c>
      <c r="K326" s="28" t="s">
        <v>441</v>
      </c>
      <c r="L326" s="28" t="s">
        <v>131</v>
      </c>
    </row>
    <row r="327" spans="1:12">
      <c r="A327" s="28" t="s">
        <v>1415</v>
      </c>
      <c r="B327" s="28" t="s">
        <v>1416</v>
      </c>
      <c r="C327" s="28" t="s">
        <v>1404</v>
      </c>
      <c r="D327" s="47" t="s">
        <v>113</v>
      </c>
      <c r="E327" s="47" t="s">
        <v>213</v>
      </c>
      <c r="F327" s="28" t="s">
        <v>115</v>
      </c>
      <c r="G327" s="49" t="s">
        <v>1353</v>
      </c>
      <c r="H327" s="49" t="s">
        <v>1405</v>
      </c>
      <c r="I327" s="28" t="s">
        <v>1244</v>
      </c>
      <c r="J327" s="28" t="s">
        <v>820</v>
      </c>
      <c r="K327" s="28" t="s">
        <v>257</v>
      </c>
      <c r="L327" s="28" t="s">
        <v>361</v>
      </c>
    </row>
    <row r="328" spans="1:12">
      <c r="A328" s="28" t="s">
        <v>1417</v>
      </c>
      <c r="B328" s="28" t="s">
        <v>1418</v>
      </c>
      <c r="C328" s="28" t="s">
        <v>235</v>
      </c>
      <c r="D328" s="47" t="s">
        <v>113</v>
      </c>
      <c r="E328" s="47" t="s">
        <v>213</v>
      </c>
      <c r="F328" s="28" t="s">
        <v>115</v>
      </c>
      <c r="G328" s="49" t="s">
        <v>1419</v>
      </c>
      <c r="H328" s="49" t="s">
        <v>464</v>
      </c>
      <c r="I328" s="28" t="s">
        <v>1289</v>
      </c>
      <c r="J328" s="28" t="s">
        <v>820</v>
      </c>
      <c r="K328" s="28" t="s">
        <v>441</v>
      </c>
      <c r="L328" s="28" t="s">
        <v>361</v>
      </c>
    </row>
    <row r="329" spans="1:12">
      <c r="A329" s="28" t="s">
        <v>1420</v>
      </c>
      <c r="B329" s="28" t="s">
        <v>1421</v>
      </c>
      <c r="C329" s="28" t="s">
        <v>235</v>
      </c>
      <c r="D329" s="47" t="s">
        <v>113</v>
      </c>
      <c r="E329" s="47" t="s">
        <v>213</v>
      </c>
      <c r="F329" s="28" t="s">
        <v>115</v>
      </c>
      <c r="G329" s="49" t="s">
        <v>1419</v>
      </c>
      <c r="H329" s="49" t="s">
        <v>464</v>
      </c>
      <c r="I329" s="28" t="s">
        <v>1289</v>
      </c>
      <c r="J329" s="28" t="s">
        <v>820</v>
      </c>
      <c r="K329" s="28" t="s">
        <v>441</v>
      </c>
      <c r="L329" s="28" t="s">
        <v>361</v>
      </c>
    </row>
    <row r="330" spans="1:12">
      <c r="A330" s="28" t="s">
        <v>1422</v>
      </c>
      <c r="B330" s="28" t="s">
        <v>1423</v>
      </c>
      <c r="C330" s="28" t="s">
        <v>260</v>
      </c>
      <c r="D330" s="47" t="s">
        <v>113</v>
      </c>
      <c r="E330" s="47" t="s">
        <v>213</v>
      </c>
      <c r="F330" s="28" t="s">
        <v>115</v>
      </c>
      <c r="G330" s="49" t="s">
        <v>1419</v>
      </c>
      <c r="H330" s="49" t="s">
        <v>263</v>
      </c>
      <c r="I330" s="28" t="s">
        <v>1289</v>
      </c>
      <c r="J330" s="28" t="s">
        <v>820</v>
      </c>
      <c r="K330" s="28" t="s">
        <v>441</v>
      </c>
      <c r="L330" s="28" t="s">
        <v>361</v>
      </c>
    </row>
    <row r="331" spans="1:12">
      <c r="A331" s="28" t="s">
        <v>1424</v>
      </c>
      <c r="B331" s="28" t="s">
        <v>1425</v>
      </c>
      <c r="C331" s="28" t="s">
        <v>1426</v>
      </c>
      <c r="D331" s="47" t="s">
        <v>125</v>
      </c>
      <c r="E331" s="47" t="s">
        <v>252</v>
      </c>
      <c r="F331" s="28" t="s">
        <v>115</v>
      </c>
      <c r="G331" s="49" t="s">
        <v>1427</v>
      </c>
      <c r="H331" s="49" t="s">
        <v>861</v>
      </c>
      <c r="I331" s="28" t="s">
        <v>146</v>
      </c>
      <c r="J331" s="28" t="s">
        <v>331</v>
      </c>
      <c r="K331" s="28" t="s">
        <v>296</v>
      </c>
      <c r="L331" s="28" t="s">
        <v>361</v>
      </c>
    </row>
    <row r="332" spans="1:12">
      <c r="A332" s="28" t="s">
        <v>1428</v>
      </c>
      <c r="B332" s="28" t="s">
        <v>1429</v>
      </c>
      <c r="C332" s="28" t="s">
        <v>670</v>
      </c>
      <c r="D332" s="47" t="s">
        <v>113</v>
      </c>
      <c r="E332" s="47" t="s">
        <v>740</v>
      </c>
      <c r="F332" s="28" t="s">
        <v>115</v>
      </c>
      <c r="G332" s="49" t="s">
        <v>1430</v>
      </c>
      <c r="H332" s="49" t="s">
        <v>903</v>
      </c>
      <c r="I332" s="28" t="s">
        <v>130</v>
      </c>
      <c r="J332" s="28" t="s">
        <v>200</v>
      </c>
      <c r="K332" s="28" t="s">
        <v>1431</v>
      </c>
      <c r="L332" s="28" t="s">
        <v>131</v>
      </c>
    </row>
    <row r="333" spans="1:12">
      <c r="A333" s="28" t="s">
        <v>1432</v>
      </c>
      <c r="B333" s="28" t="s">
        <v>1433</v>
      </c>
      <c r="C333" s="28" t="s">
        <v>1273</v>
      </c>
      <c r="D333" s="47" t="s">
        <v>125</v>
      </c>
      <c r="E333" s="47" t="s">
        <v>1274</v>
      </c>
      <c r="F333" s="28" t="s">
        <v>115</v>
      </c>
      <c r="G333" s="49" t="s">
        <v>1279</v>
      </c>
      <c r="H333" s="49" t="s">
        <v>441</v>
      </c>
      <c r="I333" s="28" t="s">
        <v>1276</v>
      </c>
      <c r="J333" s="28" t="s">
        <v>782</v>
      </c>
      <c r="K333" s="28" t="s">
        <v>1280</v>
      </c>
      <c r="L333" s="28" t="s">
        <v>131</v>
      </c>
    </row>
    <row r="334" spans="1:12">
      <c r="A334" s="28" t="s">
        <v>1434</v>
      </c>
      <c r="B334" s="28" t="s">
        <v>1435</v>
      </c>
      <c r="C334" s="28" t="s">
        <v>1273</v>
      </c>
      <c r="D334" s="47" t="s">
        <v>125</v>
      </c>
      <c r="E334" s="47" t="s">
        <v>1274</v>
      </c>
      <c r="F334" s="28" t="s">
        <v>115</v>
      </c>
      <c r="G334" s="49" t="s">
        <v>1275</v>
      </c>
      <c r="H334" s="49" t="s">
        <v>441</v>
      </c>
      <c r="I334" s="28" t="s">
        <v>1276</v>
      </c>
      <c r="J334" s="28" t="s">
        <v>394</v>
      </c>
      <c r="K334" s="28" t="s">
        <v>179</v>
      </c>
      <c r="L334" s="28" t="s">
        <v>131</v>
      </c>
    </row>
    <row r="335" spans="1:12">
      <c r="A335" s="28" t="s">
        <v>1436</v>
      </c>
      <c r="B335" s="28" t="s">
        <v>1437</v>
      </c>
      <c r="C335" s="28" t="s">
        <v>1273</v>
      </c>
      <c r="D335" s="47" t="s">
        <v>125</v>
      </c>
      <c r="E335" s="47" t="s">
        <v>1274</v>
      </c>
      <c r="F335" s="28" t="s">
        <v>115</v>
      </c>
      <c r="G335" s="49" t="s">
        <v>1279</v>
      </c>
      <c r="H335" s="49" t="s">
        <v>441</v>
      </c>
      <c r="I335" s="28" t="s">
        <v>1276</v>
      </c>
      <c r="J335" s="28" t="s">
        <v>782</v>
      </c>
      <c r="K335" s="28" t="s">
        <v>1280</v>
      </c>
      <c r="L335" s="28" t="s">
        <v>361</v>
      </c>
    </row>
    <row r="336" spans="1:12">
      <c r="A336" s="28" t="s">
        <v>1438</v>
      </c>
      <c r="B336" s="28" t="s">
        <v>1439</v>
      </c>
      <c r="C336" s="28" t="s">
        <v>1273</v>
      </c>
      <c r="D336" s="47" t="s">
        <v>125</v>
      </c>
      <c r="E336" s="47" t="s">
        <v>1274</v>
      </c>
      <c r="F336" s="28" t="s">
        <v>115</v>
      </c>
      <c r="G336" s="49" t="s">
        <v>1440</v>
      </c>
      <c r="H336" s="49" t="s">
        <v>347</v>
      </c>
      <c r="I336" s="28" t="s">
        <v>1013</v>
      </c>
      <c r="J336" s="28" t="s">
        <v>394</v>
      </c>
      <c r="K336" s="28" t="s">
        <v>820</v>
      </c>
      <c r="L336" s="28" t="s">
        <v>361</v>
      </c>
    </row>
    <row r="337" spans="1:12">
      <c r="A337" s="28" t="s">
        <v>1441</v>
      </c>
      <c r="B337" s="28" t="s">
        <v>1442</v>
      </c>
      <c r="C337" s="28" t="s">
        <v>1273</v>
      </c>
      <c r="D337" s="47" t="s">
        <v>125</v>
      </c>
      <c r="E337" s="47" t="s">
        <v>1274</v>
      </c>
      <c r="F337" s="28" t="s">
        <v>115</v>
      </c>
      <c r="G337" s="49" t="s">
        <v>1443</v>
      </c>
      <c r="H337" s="49" t="s">
        <v>441</v>
      </c>
      <c r="I337" s="28" t="s">
        <v>1013</v>
      </c>
      <c r="J337" s="28" t="s">
        <v>394</v>
      </c>
      <c r="K337" s="28" t="s">
        <v>820</v>
      </c>
      <c r="L337" s="28" t="s">
        <v>131</v>
      </c>
    </row>
    <row r="338" spans="1:12">
      <c r="A338" s="28" t="s">
        <v>1444</v>
      </c>
      <c r="B338" s="28" t="s">
        <v>1445</v>
      </c>
      <c r="C338" s="28" t="s">
        <v>1426</v>
      </c>
      <c r="D338" s="47" t="s">
        <v>125</v>
      </c>
      <c r="E338" s="47" t="s">
        <v>252</v>
      </c>
      <c r="F338" s="28" t="s">
        <v>115</v>
      </c>
      <c r="G338" s="49" t="s">
        <v>1446</v>
      </c>
      <c r="H338" s="49" t="s">
        <v>861</v>
      </c>
      <c r="I338" s="28" t="s">
        <v>1447</v>
      </c>
      <c r="J338" s="28" t="s">
        <v>346</v>
      </c>
      <c r="K338" s="28" t="s">
        <v>465</v>
      </c>
      <c r="L338" s="28" t="s">
        <v>131</v>
      </c>
    </row>
    <row r="339" spans="1:12">
      <c r="A339" s="28" t="s">
        <v>1448</v>
      </c>
      <c r="B339" s="28" t="s">
        <v>1449</v>
      </c>
      <c r="C339" s="28" t="s">
        <v>260</v>
      </c>
      <c r="D339" s="47" t="s">
        <v>113</v>
      </c>
      <c r="E339" s="47" t="s">
        <v>1450</v>
      </c>
      <c r="F339" s="28" t="s">
        <v>115</v>
      </c>
      <c r="G339" s="49" t="s">
        <v>1451</v>
      </c>
      <c r="H339" s="49" t="s">
        <v>263</v>
      </c>
      <c r="I339" s="28" t="s">
        <v>1452</v>
      </c>
      <c r="J339" s="28" t="s">
        <v>1453</v>
      </c>
      <c r="K339" s="28" t="s">
        <v>257</v>
      </c>
      <c r="L339" s="28" t="s">
        <v>361</v>
      </c>
    </row>
    <row r="340" spans="1:12">
      <c r="A340" s="28" t="s">
        <v>1454</v>
      </c>
      <c r="B340" s="28" t="s">
        <v>1455</v>
      </c>
      <c r="C340" s="28" t="s">
        <v>1426</v>
      </c>
      <c r="D340" s="47" t="s">
        <v>125</v>
      </c>
      <c r="E340" s="47" t="s">
        <v>860</v>
      </c>
      <c r="F340" s="28" t="s">
        <v>115</v>
      </c>
      <c r="G340" s="49" t="s">
        <v>1456</v>
      </c>
      <c r="H340" s="49" t="s">
        <v>1457</v>
      </c>
      <c r="I340" s="28" t="s">
        <v>146</v>
      </c>
      <c r="J340" s="28" t="s">
        <v>223</v>
      </c>
      <c r="K340" s="28" t="s">
        <v>465</v>
      </c>
      <c r="L340" s="28" t="s">
        <v>131</v>
      </c>
    </row>
    <row r="341" spans="1:12">
      <c r="A341" s="28" t="s">
        <v>1458</v>
      </c>
      <c r="B341" s="28" t="s">
        <v>1459</v>
      </c>
      <c r="C341" s="28" t="s">
        <v>1426</v>
      </c>
      <c r="D341" s="47" t="s">
        <v>125</v>
      </c>
      <c r="E341" s="47" t="s">
        <v>220</v>
      </c>
      <c r="F341" s="28" t="s">
        <v>115</v>
      </c>
      <c r="G341" s="49" t="s">
        <v>1460</v>
      </c>
      <c r="H341" s="49" t="s">
        <v>861</v>
      </c>
      <c r="I341" s="28" t="s">
        <v>264</v>
      </c>
      <c r="J341" s="28" t="s">
        <v>223</v>
      </c>
      <c r="K341" s="28" t="s">
        <v>804</v>
      </c>
      <c r="L341" s="28" t="s">
        <v>131</v>
      </c>
    </row>
    <row r="342" spans="1:12">
      <c r="A342" s="28" t="s">
        <v>1461</v>
      </c>
      <c r="B342" s="28" t="s">
        <v>1462</v>
      </c>
      <c r="C342" s="28" t="s">
        <v>1273</v>
      </c>
      <c r="D342" s="47" t="s">
        <v>125</v>
      </c>
      <c r="E342" s="47" t="s">
        <v>136</v>
      </c>
      <c r="F342" s="28" t="s">
        <v>115</v>
      </c>
      <c r="G342" s="49" t="s">
        <v>1463</v>
      </c>
      <c r="H342" s="49" t="s">
        <v>347</v>
      </c>
      <c r="I342" s="28" t="s">
        <v>1464</v>
      </c>
      <c r="J342" s="28" t="s">
        <v>1465</v>
      </c>
      <c r="K342" s="28" t="s">
        <v>553</v>
      </c>
      <c r="L342" s="28" t="s">
        <v>131</v>
      </c>
    </row>
    <row r="343" spans="1:12">
      <c r="A343" s="28" t="s">
        <v>1466</v>
      </c>
      <c r="B343" s="28" t="s">
        <v>1467</v>
      </c>
      <c r="C343" s="28" t="s">
        <v>219</v>
      </c>
      <c r="D343" s="47" t="s">
        <v>125</v>
      </c>
      <c r="E343" s="47" t="s">
        <v>252</v>
      </c>
      <c r="F343" s="28" t="s">
        <v>115</v>
      </c>
      <c r="G343" s="49" t="s">
        <v>1468</v>
      </c>
      <c r="H343" s="49" t="s">
        <v>148</v>
      </c>
      <c r="I343" s="28" t="s">
        <v>264</v>
      </c>
      <c r="J343" s="28" t="s">
        <v>166</v>
      </c>
      <c r="K343" s="28" t="s">
        <v>1350</v>
      </c>
      <c r="L343" s="28" t="s">
        <v>131</v>
      </c>
    </row>
    <row r="344" spans="1:12">
      <c r="A344" s="28" t="s">
        <v>1469</v>
      </c>
      <c r="B344" s="28" t="s">
        <v>1470</v>
      </c>
      <c r="C344" s="28" t="s">
        <v>1207</v>
      </c>
      <c r="D344" s="47" t="s">
        <v>113</v>
      </c>
      <c r="E344" s="47" t="s">
        <v>213</v>
      </c>
      <c r="F344" s="28" t="s">
        <v>115</v>
      </c>
      <c r="G344" s="49" t="s">
        <v>1471</v>
      </c>
      <c r="H344" s="49" t="s">
        <v>794</v>
      </c>
      <c r="I344" s="28" t="s">
        <v>644</v>
      </c>
      <c r="J344" s="28" t="s">
        <v>551</v>
      </c>
      <c r="K344" s="28" t="s">
        <v>1073</v>
      </c>
      <c r="L344" s="28" t="s">
        <v>131</v>
      </c>
    </row>
    <row r="345" spans="1:12">
      <c r="A345" s="28" t="s">
        <v>1472</v>
      </c>
      <c r="B345" s="28" t="s">
        <v>1473</v>
      </c>
      <c r="C345" s="28" t="s">
        <v>242</v>
      </c>
      <c r="D345" s="47" t="s">
        <v>113</v>
      </c>
      <c r="E345" s="47" t="s">
        <v>370</v>
      </c>
      <c r="F345" s="28" t="s">
        <v>115</v>
      </c>
      <c r="G345" s="49" t="s">
        <v>1474</v>
      </c>
      <c r="H345" s="49" t="s">
        <v>1358</v>
      </c>
      <c r="I345" s="28" t="s">
        <v>223</v>
      </c>
      <c r="J345" s="28" t="s">
        <v>200</v>
      </c>
      <c r="K345" s="28" t="s">
        <v>431</v>
      </c>
      <c r="L345" s="28" t="s">
        <v>361</v>
      </c>
    </row>
    <row r="346" spans="1:12">
      <c r="A346" s="28" t="s">
        <v>1475</v>
      </c>
      <c r="B346" s="28" t="s">
        <v>1476</v>
      </c>
      <c r="C346" s="28" t="s">
        <v>235</v>
      </c>
      <c r="D346" s="47" t="s">
        <v>113</v>
      </c>
      <c r="E346" s="47" t="s">
        <v>284</v>
      </c>
      <c r="F346" s="28" t="s">
        <v>115</v>
      </c>
      <c r="G346" s="49" t="s">
        <v>1288</v>
      </c>
      <c r="H346" s="49" t="s">
        <v>697</v>
      </c>
      <c r="I346" s="28" t="s">
        <v>1289</v>
      </c>
      <c r="J346" s="28" t="s">
        <v>1270</v>
      </c>
      <c r="K346" s="28" t="s">
        <v>1290</v>
      </c>
      <c r="L346" s="28" t="s">
        <v>115</v>
      </c>
    </row>
    <row r="347" spans="1:12">
      <c r="A347" s="28" t="s">
        <v>1477</v>
      </c>
      <c r="B347" s="28" t="s">
        <v>1478</v>
      </c>
      <c r="C347" s="28" t="s">
        <v>235</v>
      </c>
      <c r="D347" s="47" t="s">
        <v>113</v>
      </c>
      <c r="E347" s="47" t="s">
        <v>284</v>
      </c>
      <c r="F347" s="28" t="s">
        <v>115</v>
      </c>
      <c r="G347" s="49" t="s">
        <v>1288</v>
      </c>
      <c r="H347" s="49" t="s">
        <v>697</v>
      </c>
      <c r="I347" s="28" t="s">
        <v>1289</v>
      </c>
      <c r="J347" s="28" t="s">
        <v>1270</v>
      </c>
      <c r="K347" s="28" t="s">
        <v>1290</v>
      </c>
      <c r="L347" s="28" t="s">
        <v>115</v>
      </c>
    </row>
    <row r="348" spans="1:12">
      <c r="A348" s="28" t="s">
        <v>1479</v>
      </c>
      <c r="B348" s="28" t="s">
        <v>1480</v>
      </c>
      <c r="C348" s="28" t="s">
        <v>235</v>
      </c>
      <c r="D348" s="47" t="s">
        <v>113</v>
      </c>
      <c r="E348" s="47" t="s">
        <v>284</v>
      </c>
      <c r="F348" s="28" t="s">
        <v>115</v>
      </c>
      <c r="G348" s="49" t="s">
        <v>1288</v>
      </c>
      <c r="H348" s="49" t="s">
        <v>697</v>
      </c>
      <c r="I348" s="28" t="s">
        <v>1289</v>
      </c>
      <c r="J348" s="28" t="s">
        <v>1270</v>
      </c>
      <c r="K348" s="28" t="s">
        <v>1290</v>
      </c>
      <c r="L348" s="28" t="s">
        <v>115</v>
      </c>
    </row>
    <row r="349" spans="1:12">
      <c r="A349" s="28" t="s">
        <v>1481</v>
      </c>
      <c r="B349" s="28" t="s">
        <v>1482</v>
      </c>
      <c r="C349" s="28" t="s">
        <v>235</v>
      </c>
      <c r="D349" s="47" t="s">
        <v>113</v>
      </c>
      <c r="E349" s="47" t="s">
        <v>284</v>
      </c>
      <c r="F349" s="28" t="s">
        <v>115</v>
      </c>
      <c r="G349" s="49" t="s">
        <v>1288</v>
      </c>
      <c r="H349" s="49" t="s">
        <v>697</v>
      </c>
      <c r="I349" s="28" t="s">
        <v>1289</v>
      </c>
      <c r="J349" s="28" t="s">
        <v>1270</v>
      </c>
      <c r="K349" s="28" t="s">
        <v>1290</v>
      </c>
      <c r="L349" s="28" t="s">
        <v>115</v>
      </c>
    </row>
    <row r="350" spans="1:12">
      <c r="A350" s="28" t="s">
        <v>1483</v>
      </c>
      <c r="B350" s="28" t="s">
        <v>1484</v>
      </c>
      <c r="C350" s="28" t="s">
        <v>1132</v>
      </c>
      <c r="D350" s="47" t="s">
        <v>113</v>
      </c>
      <c r="E350" s="47" t="s">
        <v>370</v>
      </c>
      <c r="F350" s="28" t="s">
        <v>115</v>
      </c>
      <c r="G350" s="49" t="s">
        <v>1485</v>
      </c>
      <c r="H350" s="49" t="s">
        <v>270</v>
      </c>
      <c r="I350" s="28" t="s">
        <v>130</v>
      </c>
      <c r="J350" s="28" t="s">
        <v>200</v>
      </c>
      <c r="K350" s="28" t="s">
        <v>403</v>
      </c>
      <c r="L350" s="28" t="s">
        <v>361</v>
      </c>
    </row>
    <row r="351" spans="1:12">
      <c r="A351" s="28" t="s">
        <v>1486</v>
      </c>
      <c r="B351" s="28" t="s">
        <v>1487</v>
      </c>
      <c r="C351" s="28" t="s">
        <v>1404</v>
      </c>
      <c r="D351" s="47" t="s">
        <v>113</v>
      </c>
      <c r="E351" s="47" t="s">
        <v>213</v>
      </c>
      <c r="F351" s="28" t="s">
        <v>115</v>
      </c>
      <c r="G351" s="49" t="s">
        <v>1488</v>
      </c>
      <c r="H351" s="49" t="s">
        <v>1405</v>
      </c>
      <c r="I351" s="28" t="s">
        <v>1289</v>
      </c>
      <c r="J351" s="28" t="s">
        <v>157</v>
      </c>
      <c r="K351" s="28" t="s">
        <v>257</v>
      </c>
      <c r="L351" s="28" t="s">
        <v>361</v>
      </c>
    </row>
    <row r="352" spans="1:12">
      <c r="A352" s="28" t="s">
        <v>1489</v>
      </c>
      <c r="B352" s="28" t="s">
        <v>1490</v>
      </c>
      <c r="C352" s="28" t="s">
        <v>174</v>
      </c>
      <c r="D352" s="47" t="s">
        <v>125</v>
      </c>
      <c r="E352" s="47" t="s">
        <v>1491</v>
      </c>
      <c r="F352" s="28" t="s">
        <v>115</v>
      </c>
      <c r="G352" s="49" t="s">
        <v>1492</v>
      </c>
      <c r="H352" s="49" t="s">
        <v>525</v>
      </c>
      <c r="I352" s="28" t="s">
        <v>365</v>
      </c>
      <c r="J352" s="28" t="s">
        <v>317</v>
      </c>
      <c r="K352" s="28" t="s">
        <v>113</v>
      </c>
      <c r="L352" s="28" t="s">
        <v>115</v>
      </c>
    </row>
    <row r="353" spans="1:12">
      <c r="A353" s="28" t="s">
        <v>1493</v>
      </c>
      <c r="B353" s="28" t="s">
        <v>1494</v>
      </c>
      <c r="C353" s="28" t="s">
        <v>1404</v>
      </c>
      <c r="D353" s="47" t="s">
        <v>113</v>
      </c>
      <c r="E353" s="47" t="s">
        <v>314</v>
      </c>
      <c r="F353" s="28" t="s">
        <v>115</v>
      </c>
      <c r="G353" s="49" t="s">
        <v>1495</v>
      </c>
      <c r="H353" s="49" t="s">
        <v>1496</v>
      </c>
      <c r="I353" s="28" t="s">
        <v>1244</v>
      </c>
      <c r="J353" s="28" t="s">
        <v>157</v>
      </c>
      <c r="K353" s="28" t="s">
        <v>1497</v>
      </c>
      <c r="L353" s="28" t="s">
        <v>131</v>
      </c>
    </row>
    <row r="354" spans="1:12">
      <c r="A354" s="28" t="s">
        <v>1498</v>
      </c>
      <c r="B354" s="28" t="s">
        <v>1499</v>
      </c>
      <c r="C354" s="28" t="s">
        <v>242</v>
      </c>
      <c r="D354" s="47" t="s">
        <v>113</v>
      </c>
      <c r="E354" s="47" t="s">
        <v>370</v>
      </c>
      <c r="F354" s="28" t="s">
        <v>1500</v>
      </c>
      <c r="G354" s="49" t="s">
        <v>1501</v>
      </c>
      <c r="H354" s="49" t="s">
        <v>1358</v>
      </c>
      <c r="I354" s="28" t="s">
        <v>130</v>
      </c>
      <c r="J354" s="28" t="s">
        <v>402</v>
      </c>
      <c r="K354" s="28" t="s">
        <v>846</v>
      </c>
      <c r="L354" s="28" t="s">
        <v>361</v>
      </c>
    </row>
    <row r="355" spans="1:12">
      <c r="A355" s="28" t="s">
        <v>1502</v>
      </c>
      <c r="B355" s="28" t="s">
        <v>1503</v>
      </c>
      <c r="C355" s="28" t="s">
        <v>112</v>
      </c>
      <c r="D355" s="47" t="s">
        <v>113</v>
      </c>
      <c r="E355" s="47" t="s">
        <v>823</v>
      </c>
      <c r="F355" s="28" t="s">
        <v>115</v>
      </c>
      <c r="G355" s="49" t="s">
        <v>1384</v>
      </c>
      <c r="H355" s="49" t="s">
        <v>1385</v>
      </c>
      <c r="I355" s="28" t="s">
        <v>130</v>
      </c>
      <c r="J355" s="28" t="s">
        <v>1147</v>
      </c>
      <c r="K355" s="28" t="s">
        <v>875</v>
      </c>
      <c r="L355" s="28" t="s">
        <v>568</v>
      </c>
    </row>
    <row r="356" spans="1:12">
      <c r="A356" s="28" t="s">
        <v>1504</v>
      </c>
      <c r="B356" s="28" t="s">
        <v>1505</v>
      </c>
      <c r="C356" s="28" t="s">
        <v>670</v>
      </c>
      <c r="D356" s="47" t="s">
        <v>113</v>
      </c>
      <c r="E356" s="47" t="s">
        <v>823</v>
      </c>
      <c r="F356" s="28" t="s">
        <v>115</v>
      </c>
      <c r="G356" s="49" t="s">
        <v>1506</v>
      </c>
      <c r="H356" s="49" t="s">
        <v>903</v>
      </c>
      <c r="I356" s="28" t="s">
        <v>1507</v>
      </c>
      <c r="J356" s="28" t="s">
        <v>1259</v>
      </c>
      <c r="K356" s="28" t="s">
        <v>850</v>
      </c>
      <c r="L356" s="28" t="s">
        <v>115</v>
      </c>
    </row>
    <row r="357" spans="1:12">
      <c r="A357" s="28" t="s">
        <v>1508</v>
      </c>
      <c r="B357" s="28" t="s">
        <v>1509</v>
      </c>
      <c r="C357" s="28" t="s">
        <v>1510</v>
      </c>
      <c r="D357" s="47" t="s">
        <v>136</v>
      </c>
      <c r="E357" s="47" t="s">
        <v>146</v>
      </c>
      <c r="F357" s="28" t="s">
        <v>1500</v>
      </c>
      <c r="G357" s="49" t="s">
        <v>1511</v>
      </c>
      <c r="H357" s="49" t="s">
        <v>526</v>
      </c>
      <c r="I357" s="28" t="s">
        <v>1512</v>
      </c>
      <c r="J357" s="28" t="s">
        <v>1513</v>
      </c>
      <c r="K357" s="28" t="s">
        <v>1234</v>
      </c>
      <c r="L357" s="28" t="s">
        <v>568</v>
      </c>
    </row>
    <row r="358" spans="1:12">
      <c r="A358" s="28" t="s">
        <v>1514</v>
      </c>
      <c r="B358" s="28" t="s">
        <v>1515</v>
      </c>
      <c r="C358" s="28" t="s">
        <v>388</v>
      </c>
      <c r="D358" s="47" t="s">
        <v>113</v>
      </c>
      <c r="E358" s="47" t="s">
        <v>152</v>
      </c>
      <c r="F358" s="28" t="s">
        <v>115</v>
      </c>
      <c r="G358" s="49" t="s">
        <v>1516</v>
      </c>
      <c r="H358" s="49" t="s">
        <v>526</v>
      </c>
      <c r="I358" s="28" t="s">
        <v>215</v>
      </c>
      <c r="J358" s="28" t="s">
        <v>130</v>
      </c>
      <c r="K358" s="28" t="s">
        <v>1236</v>
      </c>
      <c r="L358" s="28" t="s">
        <v>115</v>
      </c>
    </row>
    <row r="359" spans="1:12">
      <c r="A359" s="28" t="s">
        <v>1517</v>
      </c>
      <c r="B359" s="28" t="s">
        <v>1518</v>
      </c>
      <c r="C359" s="28" t="s">
        <v>356</v>
      </c>
      <c r="D359" s="47" t="s">
        <v>113</v>
      </c>
      <c r="E359" s="47" t="s">
        <v>502</v>
      </c>
      <c r="F359" s="28" t="s">
        <v>794</v>
      </c>
      <c r="G359" s="49" t="s">
        <v>1519</v>
      </c>
      <c r="H359" s="49" t="s">
        <v>1520</v>
      </c>
      <c r="I359" s="28" t="s">
        <v>316</v>
      </c>
      <c r="J359" s="28" t="s">
        <v>157</v>
      </c>
      <c r="K359" s="28" t="s">
        <v>664</v>
      </c>
      <c r="L359" s="28" t="s">
        <v>115</v>
      </c>
    </row>
    <row r="360" spans="1:12">
      <c r="A360" s="28" t="s">
        <v>1521</v>
      </c>
      <c r="B360" s="28" t="s">
        <v>1522</v>
      </c>
      <c r="C360" s="28" t="s">
        <v>388</v>
      </c>
      <c r="D360" s="47" t="s">
        <v>113</v>
      </c>
      <c r="E360" s="47" t="s">
        <v>152</v>
      </c>
      <c r="F360" s="28" t="s">
        <v>115</v>
      </c>
      <c r="G360" s="49" t="s">
        <v>1516</v>
      </c>
      <c r="H360" s="49" t="s">
        <v>278</v>
      </c>
      <c r="I360" s="28" t="s">
        <v>215</v>
      </c>
      <c r="J360" s="28" t="s">
        <v>130</v>
      </c>
      <c r="K360" s="28" t="s">
        <v>1236</v>
      </c>
      <c r="L360" s="28" t="s">
        <v>115</v>
      </c>
    </row>
    <row r="361" spans="1:12">
      <c r="A361" s="28" t="s">
        <v>1523</v>
      </c>
      <c r="B361" s="28" t="s">
        <v>1524</v>
      </c>
      <c r="C361" s="28" t="s">
        <v>388</v>
      </c>
      <c r="D361" s="47" t="s">
        <v>113</v>
      </c>
      <c r="E361" s="47" t="s">
        <v>152</v>
      </c>
      <c r="F361" s="28" t="s">
        <v>115</v>
      </c>
      <c r="G361" s="49" t="s">
        <v>1516</v>
      </c>
      <c r="H361" s="49" t="s">
        <v>278</v>
      </c>
      <c r="I361" s="28" t="s">
        <v>215</v>
      </c>
      <c r="J361" s="28" t="s">
        <v>130</v>
      </c>
      <c r="K361" s="28" t="s">
        <v>1236</v>
      </c>
      <c r="L361" s="28" t="s">
        <v>115</v>
      </c>
    </row>
    <row r="362" spans="1:12">
      <c r="A362" s="28" t="s">
        <v>1525</v>
      </c>
      <c r="B362" s="28" t="s">
        <v>1526</v>
      </c>
      <c r="C362" s="28" t="s">
        <v>1527</v>
      </c>
      <c r="D362" s="47" t="s">
        <v>791</v>
      </c>
      <c r="E362" s="47" t="s">
        <v>794</v>
      </c>
      <c r="F362" s="28" t="s">
        <v>1500</v>
      </c>
      <c r="G362" s="49" t="s">
        <v>1528</v>
      </c>
      <c r="H362" s="49" t="s">
        <v>865</v>
      </c>
      <c r="I362" s="28" t="s">
        <v>975</v>
      </c>
      <c r="J362" s="28" t="s">
        <v>1529</v>
      </c>
      <c r="K362" s="28" t="s">
        <v>489</v>
      </c>
      <c r="L362" s="28" t="s">
        <v>361</v>
      </c>
    </row>
    <row r="363" spans="1:12">
      <c r="A363" s="28" t="s">
        <v>1530</v>
      </c>
      <c r="B363" s="28" t="s">
        <v>1531</v>
      </c>
      <c r="C363" s="28" t="s">
        <v>1527</v>
      </c>
      <c r="D363" s="47" t="s">
        <v>791</v>
      </c>
      <c r="E363" s="47" t="s">
        <v>794</v>
      </c>
      <c r="F363" s="28" t="s">
        <v>115</v>
      </c>
      <c r="G363" s="49" t="s">
        <v>1528</v>
      </c>
      <c r="H363" s="49" t="s">
        <v>865</v>
      </c>
      <c r="I363" s="28" t="s">
        <v>975</v>
      </c>
      <c r="J363" s="28" t="s">
        <v>1529</v>
      </c>
      <c r="K363" s="28" t="s">
        <v>489</v>
      </c>
      <c r="L363" s="28" t="s">
        <v>361</v>
      </c>
    </row>
    <row r="364" spans="1:12">
      <c r="A364" s="28" t="s">
        <v>1532</v>
      </c>
      <c r="B364" s="28" t="s">
        <v>1533</v>
      </c>
      <c r="C364" s="28" t="s">
        <v>1534</v>
      </c>
      <c r="D364" s="47" t="s">
        <v>791</v>
      </c>
      <c r="E364" s="47" t="s">
        <v>794</v>
      </c>
      <c r="F364" s="28" t="s">
        <v>115</v>
      </c>
      <c r="G364" s="49" t="s">
        <v>1535</v>
      </c>
      <c r="H364" s="49" t="s">
        <v>1113</v>
      </c>
      <c r="I364" s="28" t="s">
        <v>520</v>
      </c>
      <c r="J364" s="28" t="s">
        <v>818</v>
      </c>
      <c r="K364" s="28" t="s">
        <v>1186</v>
      </c>
      <c r="L364" s="28" t="s">
        <v>115</v>
      </c>
    </row>
    <row r="365" spans="1:12">
      <c r="A365" s="28" t="s">
        <v>1536</v>
      </c>
      <c r="B365" s="28" t="s">
        <v>1537</v>
      </c>
      <c r="C365" s="28" t="s">
        <v>1534</v>
      </c>
      <c r="D365" s="47" t="s">
        <v>791</v>
      </c>
      <c r="E365" s="47" t="s">
        <v>794</v>
      </c>
      <c r="F365" s="28" t="s">
        <v>115</v>
      </c>
      <c r="G365" s="49" t="s">
        <v>1535</v>
      </c>
      <c r="H365" s="49" t="s">
        <v>1113</v>
      </c>
      <c r="I365" s="28" t="s">
        <v>520</v>
      </c>
      <c r="J365" s="28" t="s">
        <v>818</v>
      </c>
      <c r="K365" s="28" t="s">
        <v>1186</v>
      </c>
      <c r="L365" s="28" t="s">
        <v>115</v>
      </c>
    </row>
    <row r="366" spans="1:12">
      <c r="A366" s="28" t="s">
        <v>1538</v>
      </c>
      <c r="B366" s="28" t="s">
        <v>1539</v>
      </c>
      <c r="C366" s="28" t="s">
        <v>260</v>
      </c>
      <c r="D366" s="47" t="s">
        <v>113</v>
      </c>
      <c r="E366" s="47" t="s">
        <v>365</v>
      </c>
      <c r="F366" s="28" t="s">
        <v>115</v>
      </c>
      <c r="G366" s="49" t="s">
        <v>1540</v>
      </c>
      <c r="H366" s="49" t="s">
        <v>1541</v>
      </c>
      <c r="I366" s="28" t="s">
        <v>1542</v>
      </c>
      <c r="J366" s="28" t="s">
        <v>1543</v>
      </c>
      <c r="K366" s="28" t="s">
        <v>216</v>
      </c>
      <c r="L366" s="28" t="s">
        <v>1544</v>
      </c>
    </row>
    <row r="367" spans="1:12">
      <c r="A367" s="28" t="s">
        <v>1545</v>
      </c>
      <c r="B367" s="28" t="s">
        <v>1546</v>
      </c>
      <c r="C367" s="28" t="s">
        <v>1179</v>
      </c>
      <c r="D367" s="47" t="s">
        <v>113</v>
      </c>
      <c r="E367" s="47" t="s">
        <v>365</v>
      </c>
      <c r="F367" s="28" t="s">
        <v>115</v>
      </c>
      <c r="G367" s="49" t="s">
        <v>1547</v>
      </c>
      <c r="H367" s="49" t="s">
        <v>697</v>
      </c>
      <c r="I367" s="28" t="s">
        <v>1548</v>
      </c>
      <c r="J367" s="28" t="s">
        <v>1447</v>
      </c>
      <c r="K367" s="28" t="s">
        <v>1054</v>
      </c>
      <c r="L367" s="28" t="s">
        <v>1544</v>
      </c>
    </row>
    <row r="368" spans="1:12">
      <c r="A368" s="28" t="s">
        <v>1549</v>
      </c>
      <c r="B368" s="28" t="s">
        <v>1550</v>
      </c>
      <c r="C368" s="28" t="s">
        <v>1551</v>
      </c>
      <c r="D368" s="47" t="s">
        <v>794</v>
      </c>
      <c r="E368" s="47" t="s">
        <v>257</v>
      </c>
      <c r="F368" s="28" t="s">
        <v>115</v>
      </c>
      <c r="G368" s="49" t="s">
        <v>1552</v>
      </c>
      <c r="H368" s="49" t="s">
        <v>1553</v>
      </c>
      <c r="I368" s="28" t="s">
        <v>1554</v>
      </c>
      <c r="J368" s="28" t="s">
        <v>1555</v>
      </c>
      <c r="K368" s="28" t="s">
        <v>1556</v>
      </c>
      <c r="L368" s="28" t="s">
        <v>1544</v>
      </c>
    </row>
    <row r="369" spans="1:12">
      <c r="A369" s="28" t="s">
        <v>1557</v>
      </c>
      <c r="B369" s="28" t="s">
        <v>1558</v>
      </c>
      <c r="C369" s="28" t="s">
        <v>523</v>
      </c>
      <c r="D369" s="47" t="s">
        <v>125</v>
      </c>
      <c r="E369" s="47" t="s">
        <v>276</v>
      </c>
      <c r="F369" s="28" t="s">
        <v>115</v>
      </c>
      <c r="G369" s="49" t="s">
        <v>1559</v>
      </c>
      <c r="H369" s="49" t="s">
        <v>640</v>
      </c>
      <c r="I369" s="28" t="s">
        <v>1062</v>
      </c>
      <c r="J369" s="28" t="s">
        <v>207</v>
      </c>
      <c r="K369" s="28" t="s">
        <v>316</v>
      </c>
      <c r="L369" s="28" t="s">
        <v>1544</v>
      </c>
    </row>
    <row r="370" spans="1:12">
      <c r="A370" s="28" t="s">
        <v>1560</v>
      </c>
      <c r="B370" s="28" t="s">
        <v>1561</v>
      </c>
      <c r="C370" s="28" t="s">
        <v>174</v>
      </c>
      <c r="D370" s="47" t="s">
        <v>125</v>
      </c>
      <c r="E370" s="47" t="s">
        <v>269</v>
      </c>
      <c r="F370" s="28" t="s">
        <v>115</v>
      </c>
      <c r="G370" s="49" t="s">
        <v>1562</v>
      </c>
      <c r="H370" s="49" t="s">
        <v>861</v>
      </c>
      <c r="I370" s="28" t="s">
        <v>1563</v>
      </c>
      <c r="J370" s="28" t="s">
        <v>1564</v>
      </c>
      <c r="K370" s="28" t="s">
        <v>1565</v>
      </c>
      <c r="L370" s="28" t="s">
        <v>1544</v>
      </c>
    </row>
    <row r="371" spans="1:12">
      <c r="A371" s="28" t="s">
        <v>1566</v>
      </c>
      <c r="B371" s="28" t="s">
        <v>1567</v>
      </c>
      <c r="C371" s="28" t="s">
        <v>1551</v>
      </c>
      <c r="D371" s="47" t="s">
        <v>794</v>
      </c>
      <c r="E371" s="47" t="s">
        <v>257</v>
      </c>
      <c r="F371" s="28" t="s">
        <v>115</v>
      </c>
      <c r="G371" s="49" t="s">
        <v>1568</v>
      </c>
      <c r="H371" s="49" t="s">
        <v>1569</v>
      </c>
      <c r="I371" s="28" t="s">
        <v>284</v>
      </c>
      <c r="J371" s="28" t="s">
        <v>365</v>
      </c>
      <c r="K371" s="28" t="s">
        <v>1570</v>
      </c>
      <c r="L371" s="28" t="s">
        <v>1544</v>
      </c>
    </row>
    <row r="372" spans="1:12">
      <c r="A372" s="28" t="s">
        <v>1571</v>
      </c>
      <c r="B372" s="28" t="s">
        <v>1572</v>
      </c>
      <c r="C372" s="28" t="s">
        <v>1551</v>
      </c>
      <c r="D372" s="47" t="s">
        <v>794</v>
      </c>
      <c r="E372" s="47" t="s">
        <v>257</v>
      </c>
      <c r="F372" s="28" t="s">
        <v>115</v>
      </c>
      <c r="G372" s="49" t="s">
        <v>1568</v>
      </c>
      <c r="H372" s="49" t="s">
        <v>1569</v>
      </c>
      <c r="I372" s="28" t="s">
        <v>284</v>
      </c>
      <c r="J372" s="28" t="s">
        <v>365</v>
      </c>
      <c r="K372" s="28" t="s">
        <v>1570</v>
      </c>
      <c r="L372" s="28" t="s">
        <v>1544</v>
      </c>
    </row>
    <row r="373" spans="1:12">
      <c r="A373" s="28" t="s">
        <v>1573</v>
      </c>
      <c r="B373" s="28" t="s">
        <v>1574</v>
      </c>
      <c r="C373" s="28" t="s">
        <v>1575</v>
      </c>
      <c r="D373" s="47" t="s">
        <v>113</v>
      </c>
      <c r="E373" s="47" t="s">
        <v>136</v>
      </c>
      <c r="F373" s="28" t="s">
        <v>115</v>
      </c>
      <c r="G373" s="49" t="s">
        <v>1576</v>
      </c>
      <c r="H373" s="49" t="s">
        <v>605</v>
      </c>
      <c r="I373" s="28" t="s">
        <v>1542</v>
      </c>
      <c r="J373" s="28" t="s">
        <v>457</v>
      </c>
      <c r="K373" s="28" t="s">
        <v>1553</v>
      </c>
      <c r="L373" s="28" t="s">
        <v>1544</v>
      </c>
    </row>
    <row r="374" spans="1:12">
      <c r="A374" s="28" t="s">
        <v>1577</v>
      </c>
      <c r="B374" s="28" t="s">
        <v>1578</v>
      </c>
      <c r="C374" s="28" t="s">
        <v>1551</v>
      </c>
      <c r="D374" s="47" t="s">
        <v>794</v>
      </c>
      <c r="E374" s="47" t="s">
        <v>257</v>
      </c>
      <c r="F374" s="28" t="s">
        <v>115</v>
      </c>
      <c r="G374" s="49" t="s">
        <v>1579</v>
      </c>
      <c r="H374" s="49" t="s">
        <v>1569</v>
      </c>
      <c r="I374" s="28" t="s">
        <v>213</v>
      </c>
      <c r="J374" s="28" t="s">
        <v>644</v>
      </c>
      <c r="K374" s="28" t="s">
        <v>1570</v>
      </c>
      <c r="L374" s="28" t="s">
        <v>1544</v>
      </c>
    </row>
    <row r="375" spans="1:12">
      <c r="A375" s="28" t="s">
        <v>1580</v>
      </c>
      <c r="B375" s="28" t="s">
        <v>1581</v>
      </c>
      <c r="C375" s="28" t="s">
        <v>242</v>
      </c>
      <c r="D375" s="47" t="s">
        <v>113</v>
      </c>
      <c r="E375" s="47" t="s">
        <v>276</v>
      </c>
      <c r="F375" s="28" t="s">
        <v>115</v>
      </c>
      <c r="G375" s="49" t="s">
        <v>1582</v>
      </c>
      <c r="H375" s="49" t="s">
        <v>506</v>
      </c>
      <c r="I375" s="28" t="s">
        <v>152</v>
      </c>
      <c r="J375" s="28" t="s">
        <v>1583</v>
      </c>
      <c r="K375" s="28" t="s">
        <v>166</v>
      </c>
      <c r="L375" s="28" t="s">
        <v>1544</v>
      </c>
    </row>
    <row r="376" spans="1:12">
      <c r="A376" s="28" t="s">
        <v>1584</v>
      </c>
      <c r="B376" s="28" t="s">
        <v>1585</v>
      </c>
      <c r="C376" s="28" t="s">
        <v>242</v>
      </c>
      <c r="D376" s="47" t="s">
        <v>113</v>
      </c>
      <c r="E376" s="47" t="s">
        <v>276</v>
      </c>
      <c r="F376" s="28" t="s">
        <v>115</v>
      </c>
      <c r="G376" s="49" t="s">
        <v>1582</v>
      </c>
      <c r="H376" s="49" t="s">
        <v>538</v>
      </c>
      <c r="I376" s="28" t="s">
        <v>152</v>
      </c>
      <c r="J376" s="28" t="s">
        <v>1583</v>
      </c>
      <c r="K376" s="28" t="s">
        <v>166</v>
      </c>
      <c r="L376" s="28" t="s">
        <v>843</v>
      </c>
    </row>
    <row r="377" spans="1:12">
      <c r="A377" s="28" t="s">
        <v>1586</v>
      </c>
      <c r="B377" s="28" t="s">
        <v>1587</v>
      </c>
      <c r="C377" s="28" t="s">
        <v>1551</v>
      </c>
      <c r="D377" s="47" t="s">
        <v>794</v>
      </c>
      <c r="E377" s="47" t="s">
        <v>257</v>
      </c>
      <c r="F377" s="28" t="s">
        <v>115</v>
      </c>
      <c r="G377" s="49" t="s">
        <v>1552</v>
      </c>
      <c r="H377" s="49" t="s">
        <v>1553</v>
      </c>
      <c r="I377" s="28" t="s">
        <v>1554</v>
      </c>
      <c r="J377" s="28" t="s">
        <v>1555</v>
      </c>
      <c r="K377" s="28" t="s">
        <v>1556</v>
      </c>
      <c r="L377" s="28" t="s">
        <v>115</v>
      </c>
    </row>
    <row r="378" spans="1:12">
      <c r="A378" s="28" t="s">
        <v>1588</v>
      </c>
      <c r="B378" s="28" t="s">
        <v>1589</v>
      </c>
      <c r="C378" s="28" t="s">
        <v>1590</v>
      </c>
      <c r="D378" s="47" t="s">
        <v>113</v>
      </c>
      <c r="E378" s="47" t="s">
        <v>551</v>
      </c>
      <c r="F378" s="28" t="s">
        <v>115</v>
      </c>
      <c r="G378" s="49" t="s">
        <v>1591</v>
      </c>
      <c r="H378" s="49" t="s">
        <v>499</v>
      </c>
      <c r="I378" s="28" t="s">
        <v>1592</v>
      </c>
      <c r="J378" s="28" t="s">
        <v>155</v>
      </c>
      <c r="K378" s="28" t="s">
        <v>215</v>
      </c>
      <c r="L378" s="28" t="s">
        <v>1544</v>
      </c>
    </row>
    <row r="379" spans="1:12">
      <c r="A379" s="28" t="s">
        <v>1593</v>
      </c>
      <c r="B379" s="28" t="s">
        <v>1594</v>
      </c>
      <c r="C379" s="28" t="s">
        <v>523</v>
      </c>
      <c r="D379" s="47" t="s">
        <v>125</v>
      </c>
      <c r="E379" s="47" t="s">
        <v>276</v>
      </c>
      <c r="F379" s="28" t="s">
        <v>115</v>
      </c>
      <c r="G379" s="49" t="s">
        <v>1595</v>
      </c>
      <c r="H379" s="49" t="s">
        <v>1596</v>
      </c>
      <c r="I379" s="28" t="s">
        <v>308</v>
      </c>
      <c r="J379" s="28" t="s">
        <v>498</v>
      </c>
      <c r="K379" s="28" t="s">
        <v>130</v>
      </c>
      <c r="L379" s="28" t="s">
        <v>1544</v>
      </c>
    </row>
    <row r="380" spans="1:12">
      <c r="A380" s="28" t="s">
        <v>1597</v>
      </c>
      <c r="B380" s="28" t="s">
        <v>1598</v>
      </c>
      <c r="C380" s="28" t="s">
        <v>1599</v>
      </c>
      <c r="D380" s="47" t="s">
        <v>850</v>
      </c>
      <c r="E380" s="47" t="s">
        <v>213</v>
      </c>
      <c r="F380" s="28" t="s">
        <v>115</v>
      </c>
      <c r="G380" s="49" t="s">
        <v>1600</v>
      </c>
      <c r="H380" s="49" t="s">
        <v>949</v>
      </c>
      <c r="I380" s="28" t="s">
        <v>276</v>
      </c>
      <c r="J380" s="28" t="s">
        <v>975</v>
      </c>
      <c r="K380" s="28" t="s">
        <v>1073</v>
      </c>
      <c r="L380" s="28" t="s">
        <v>1544</v>
      </c>
    </row>
    <row r="381" spans="1:12">
      <c r="A381" s="28" t="s">
        <v>1601</v>
      </c>
      <c r="B381" s="28" t="s">
        <v>1602</v>
      </c>
      <c r="C381" s="28" t="s">
        <v>1551</v>
      </c>
      <c r="D381" s="47" t="s">
        <v>794</v>
      </c>
      <c r="E381" s="47" t="s">
        <v>257</v>
      </c>
      <c r="F381" s="28" t="s">
        <v>115</v>
      </c>
      <c r="G381" s="49" t="s">
        <v>1603</v>
      </c>
      <c r="H381" s="49" t="s">
        <v>1604</v>
      </c>
      <c r="I381" s="28" t="s">
        <v>1605</v>
      </c>
      <c r="J381" s="28" t="s">
        <v>1240</v>
      </c>
      <c r="K381" s="28" t="s">
        <v>1606</v>
      </c>
      <c r="L381" s="28" t="s">
        <v>1544</v>
      </c>
    </row>
    <row r="382" spans="1:12">
      <c r="A382" s="28" t="s">
        <v>1607</v>
      </c>
      <c r="B382" s="28" t="s">
        <v>1608</v>
      </c>
      <c r="C382" s="28" t="s">
        <v>1551</v>
      </c>
      <c r="D382" s="47" t="s">
        <v>794</v>
      </c>
      <c r="E382" s="47" t="s">
        <v>257</v>
      </c>
      <c r="F382" s="28" t="s">
        <v>115</v>
      </c>
      <c r="G382" s="49" t="s">
        <v>1385</v>
      </c>
      <c r="H382" s="49" t="s">
        <v>1569</v>
      </c>
      <c r="I382" s="28" t="s">
        <v>1609</v>
      </c>
      <c r="J382" s="28" t="s">
        <v>1610</v>
      </c>
      <c r="K382" s="28" t="s">
        <v>1251</v>
      </c>
      <c r="L382" s="28" t="s">
        <v>1544</v>
      </c>
    </row>
    <row r="383" spans="1:12">
      <c r="A383" s="28" t="s">
        <v>1611</v>
      </c>
      <c r="B383" s="28" t="s">
        <v>1612</v>
      </c>
      <c r="C383" s="28" t="s">
        <v>1613</v>
      </c>
      <c r="D383" s="47" t="s">
        <v>125</v>
      </c>
      <c r="E383" s="47" t="s">
        <v>115</v>
      </c>
      <c r="F383" s="28" t="s">
        <v>115</v>
      </c>
      <c r="G383" s="49" t="s">
        <v>1614</v>
      </c>
      <c r="H383" s="49" t="s">
        <v>861</v>
      </c>
      <c r="I383" s="28" t="s">
        <v>115</v>
      </c>
      <c r="J383" s="28" t="s">
        <v>115</v>
      </c>
      <c r="K383" s="28" t="s">
        <v>115</v>
      </c>
      <c r="L383" s="28" t="s">
        <v>1544</v>
      </c>
    </row>
    <row r="384" spans="1:12">
      <c r="A384" s="28" t="s">
        <v>1615</v>
      </c>
      <c r="B384" s="28" t="s">
        <v>1616</v>
      </c>
      <c r="C384" s="28" t="s">
        <v>873</v>
      </c>
      <c r="D384" s="47" t="s">
        <v>125</v>
      </c>
      <c r="E384" s="47" t="s">
        <v>227</v>
      </c>
      <c r="F384" s="28" t="s">
        <v>115</v>
      </c>
      <c r="G384" s="49" t="s">
        <v>1617</v>
      </c>
      <c r="H384" s="49" t="s">
        <v>949</v>
      </c>
      <c r="I384" s="28" t="s">
        <v>1126</v>
      </c>
      <c r="J384" s="28" t="s">
        <v>520</v>
      </c>
      <c r="K384" s="28" t="s">
        <v>188</v>
      </c>
      <c r="L384" s="28" t="s">
        <v>115</v>
      </c>
    </row>
    <row r="385" spans="1:12">
      <c r="A385" s="28" t="s">
        <v>1618</v>
      </c>
      <c r="B385" s="28" t="s">
        <v>1616</v>
      </c>
      <c r="C385" s="28" t="s">
        <v>1619</v>
      </c>
      <c r="D385" s="47" t="s">
        <v>317</v>
      </c>
      <c r="E385" s="47" t="s">
        <v>153</v>
      </c>
      <c r="F385" s="28" t="s">
        <v>115</v>
      </c>
      <c r="G385" s="49" t="s">
        <v>1620</v>
      </c>
      <c r="H385" s="49" t="s">
        <v>270</v>
      </c>
      <c r="I385" s="28" t="s">
        <v>1062</v>
      </c>
      <c r="J385" s="28" t="s">
        <v>402</v>
      </c>
      <c r="K385" s="28" t="s">
        <v>237</v>
      </c>
      <c r="L385" s="28" t="s">
        <v>115</v>
      </c>
    </row>
    <row r="386" spans="1:12">
      <c r="A386" s="28" t="s">
        <v>1621</v>
      </c>
      <c r="B386" s="28" t="s">
        <v>1622</v>
      </c>
      <c r="C386" s="28" t="s">
        <v>1623</v>
      </c>
      <c r="D386" s="47" t="s">
        <v>125</v>
      </c>
      <c r="E386" s="47" t="s">
        <v>114</v>
      </c>
      <c r="F386" s="28" t="s">
        <v>115</v>
      </c>
      <c r="G386" s="49" t="s">
        <v>1624</v>
      </c>
      <c r="H386" s="49" t="s">
        <v>865</v>
      </c>
      <c r="I386" s="28" t="s">
        <v>1013</v>
      </c>
      <c r="J386" s="28" t="s">
        <v>974</v>
      </c>
      <c r="K386" s="28" t="s">
        <v>1625</v>
      </c>
      <c r="L386" s="28" t="s">
        <v>1544</v>
      </c>
    </row>
    <row r="387" spans="1:12">
      <c r="A387" s="28" t="s">
        <v>1626</v>
      </c>
      <c r="B387" s="28" t="s">
        <v>1627</v>
      </c>
      <c r="C387" s="28" t="s">
        <v>1551</v>
      </c>
      <c r="D387" s="47" t="s">
        <v>794</v>
      </c>
      <c r="E387" s="47" t="s">
        <v>257</v>
      </c>
      <c r="F387" s="28" t="s">
        <v>115</v>
      </c>
      <c r="G387" s="49" t="s">
        <v>1385</v>
      </c>
      <c r="H387" s="49" t="s">
        <v>1628</v>
      </c>
      <c r="I387" s="28" t="s">
        <v>115</v>
      </c>
      <c r="J387" s="28" t="s">
        <v>115</v>
      </c>
      <c r="K387" s="28" t="s">
        <v>115</v>
      </c>
      <c r="L387" s="28" t="s">
        <v>115</v>
      </c>
    </row>
    <row r="388" spans="1:12">
      <c r="A388" s="28" t="s">
        <v>1629</v>
      </c>
      <c r="B388" s="28" t="s">
        <v>1630</v>
      </c>
      <c r="C388" s="28" t="s">
        <v>1631</v>
      </c>
      <c r="D388" s="47" t="s">
        <v>160</v>
      </c>
      <c r="E388" s="47" t="s">
        <v>551</v>
      </c>
      <c r="F388" s="28" t="s">
        <v>115</v>
      </c>
      <c r="G388" s="49" t="s">
        <v>1385</v>
      </c>
      <c r="H388" s="49" t="s">
        <v>551</v>
      </c>
      <c r="I388" s="28" t="s">
        <v>115</v>
      </c>
      <c r="J388" s="28" t="s">
        <v>115</v>
      </c>
      <c r="K388" s="28" t="s">
        <v>115</v>
      </c>
      <c r="L388" s="28" t="s">
        <v>115</v>
      </c>
    </row>
    <row r="389" spans="1:12">
      <c r="A389" s="28" t="s">
        <v>1632</v>
      </c>
      <c r="B389" s="28" t="s">
        <v>1633</v>
      </c>
      <c r="C389" s="28" t="s">
        <v>1634</v>
      </c>
      <c r="D389" s="47" t="s">
        <v>794</v>
      </c>
      <c r="E389" s="47" t="s">
        <v>223</v>
      </c>
      <c r="F389" s="28" t="s">
        <v>115</v>
      </c>
      <c r="G389" s="49" t="s">
        <v>1635</v>
      </c>
      <c r="H389" s="49" t="s">
        <v>526</v>
      </c>
      <c r="I389" s="28" t="s">
        <v>152</v>
      </c>
      <c r="J389" s="28" t="s">
        <v>346</v>
      </c>
      <c r="K389" s="28" t="s">
        <v>1636</v>
      </c>
      <c r="L389" s="28" t="s">
        <v>115</v>
      </c>
    </row>
    <row r="390" spans="1:12">
      <c r="A390" s="28" t="s">
        <v>1637</v>
      </c>
      <c r="B390" s="28" t="s">
        <v>1638</v>
      </c>
      <c r="C390" s="28" t="s">
        <v>242</v>
      </c>
      <c r="D390" s="47" t="s">
        <v>113</v>
      </c>
      <c r="E390" s="47" t="s">
        <v>136</v>
      </c>
      <c r="F390" s="28" t="s">
        <v>115</v>
      </c>
      <c r="G390" s="49" t="s">
        <v>1639</v>
      </c>
      <c r="H390" s="49" t="s">
        <v>1385</v>
      </c>
      <c r="I390" s="28" t="s">
        <v>1640</v>
      </c>
      <c r="J390" s="28" t="s">
        <v>394</v>
      </c>
      <c r="K390" s="28" t="s">
        <v>1641</v>
      </c>
      <c r="L390" s="28" t="s">
        <v>1642</v>
      </c>
    </row>
    <row r="391" spans="1:12">
      <c r="A391" s="28" t="s">
        <v>1643</v>
      </c>
      <c r="B391" s="28" t="s">
        <v>1644</v>
      </c>
      <c r="C391" s="28" t="s">
        <v>935</v>
      </c>
      <c r="D391" s="47" t="s">
        <v>113</v>
      </c>
      <c r="E391" s="47" t="s">
        <v>1274</v>
      </c>
      <c r="F391" s="28" t="s">
        <v>115</v>
      </c>
      <c r="G391" s="49" t="s">
        <v>1645</v>
      </c>
      <c r="H391" s="49" t="s">
        <v>697</v>
      </c>
      <c r="I391" s="28" t="s">
        <v>819</v>
      </c>
      <c r="J391" s="28" t="s">
        <v>1447</v>
      </c>
      <c r="K391" s="28" t="s">
        <v>1646</v>
      </c>
      <c r="L391" s="28" t="s">
        <v>1642</v>
      </c>
    </row>
    <row r="392" spans="1:12">
      <c r="A392" s="28" t="s">
        <v>1647</v>
      </c>
      <c r="B392" s="28" t="s">
        <v>1648</v>
      </c>
      <c r="C392" s="28" t="s">
        <v>242</v>
      </c>
      <c r="D392" s="47" t="s">
        <v>113</v>
      </c>
      <c r="E392" s="47" t="s">
        <v>136</v>
      </c>
      <c r="F392" s="28" t="s">
        <v>115</v>
      </c>
      <c r="G392" s="49" t="s">
        <v>1639</v>
      </c>
      <c r="H392" s="49" t="s">
        <v>1385</v>
      </c>
      <c r="I392" s="28" t="s">
        <v>1640</v>
      </c>
      <c r="J392" s="28" t="s">
        <v>394</v>
      </c>
      <c r="K392" s="28" t="s">
        <v>1641</v>
      </c>
      <c r="L392" s="28" t="s">
        <v>1642</v>
      </c>
    </row>
    <row r="393" spans="1:12">
      <c r="A393" s="28" t="s">
        <v>1649</v>
      </c>
      <c r="B393" s="28" t="s">
        <v>1650</v>
      </c>
      <c r="C393" s="28" t="s">
        <v>670</v>
      </c>
      <c r="D393" s="47" t="s">
        <v>113</v>
      </c>
      <c r="E393" s="47" t="s">
        <v>276</v>
      </c>
      <c r="F393" s="28" t="s">
        <v>115</v>
      </c>
      <c r="G393" s="49" t="s">
        <v>1651</v>
      </c>
      <c r="H393" s="49" t="s">
        <v>663</v>
      </c>
      <c r="I393" s="28" t="s">
        <v>1376</v>
      </c>
      <c r="J393" s="28" t="s">
        <v>1652</v>
      </c>
      <c r="K393" s="28" t="s">
        <v>216</v>
      </c>
      <c r="L393" s="28" t="s">
        <v>1642</v>
      </c>
    </row>
    <row r="394" spans="1:12">
      <c r="A394" s="28" t="s">
        <v>1653</v>
      </c>
      <c r="B394" s="28" t="s">
        <v>1654</v>
      </c>
      <c r="C394" s="28" t="s">
        <v>670</v>
      </c>
      <c r="D394" s="47" t="s">
        <v>113</v>
      </c>
      <c r="E394" s="47" t="s">
        <v>276</v>
      </c>
      <c r="F394" s="28" t="s">
        <v>115</v>
      </c>
      <c r="G394" s="49" t="s">
        <v>1582</v>
      </c>
      <c r="H394" s="49" t="s">
        <v>538</v>
      </c>
      <c r="I394" s="28" t="s">
        <v>152</v>
      </c>
      <c r="J394" s="28" t="s">
        <v>1583</v>
      </c>
      <c r="K394" s="28" t="s">
        <v>166</v>
      </c>
      <c r="L394" s="28" t="s">
        <v>1544</v>
      </c>
    </row>
    <row r="395" spans="1:12">
      <c r="A395" s="28" t="s">
        <v>1655</v>
      </c>
      <c r="B395" s="28" t="s">
        <v>1656</v>
      </c>
      <c r="C395" s="28" t="s">
        <v>1551</v>
      </c>
      <c r="D395" s="47" t="s">
        <v>794</v>
      </c>
      <c r="E395" s="47" t="s">
        <v>113</v>
      </c>
      <c r="F395" s="28" t="s">
        <v>115</v>
      </c>
      <c r="G395" s="49" t="s">
        <v>1385</v>
      </c>
      <c r="H395" s="49" t="s">
        <v>1628</v>
      </c>
      <c r="I395" s="28" t="s">
        <v>115</v>
      </c>
      <c r="J395" s="28" t="s">
        <v>115</v>
      </c>
      <c r="K395" s="28" t="s">
        <v>115</v>
      </c>
      <c r="L395" s="28" t="s">
        <v>115</v>
      </c>
    </row>
    <row r="396" spans="1:12">
      <c r="A396" s="28" t="s">
        <v>1657</v>
      </c>
      <c r="B396" s="28" t="s">
        <v>1658</v>
      </c>
      <c r="C396" s="28" t="s">
        <v>1659</v>
      </c>
      <c r="D396" s="47" t="s">
        <v>850</v>
      </c>
      <c r="E396" s="47" t="s">
        <v>213</v>
      </c>
      <c r="F396" s="28" t="s">
        <v>115</v>
      </c>
      <c r="G396" s="49" t="s">
        <v>1660</v>
      </c>
      <c r="H396" s="49" t="s">
        <v>730</v>
      </c>
      <c r="I396" s="28" t="s">
        <v>1661</v>
      </c>
      <c r="J396" s="28" t="s">
        <v>280</v>
      </c>
      <c r="K396" s="28" t="s">
        <v>489</v>
      </c>
      <c r="L396" s="28" t="s">
        <v>1642</v>
      </c>
    </row>
    <row r="397" spans="1:12">
      <c r="A397" s="28" t="s">
        <v>1662</v>
      </c>
      <c r="B397" s="28" t="s">
        <v>1663</v>
      </c>
      <c r="C397" s="28" t="s">
        <v>1664</v>
      </c>
      <c r="D397" s="47" t="s">
        <v>125</v>
      </c>
      <c r="E397" s="47" t="s">
        <v>223</v>
      </c>
      <c r="F397" s="28" t="s">
        <v>115</v>
      </c>
      <c r="G397" s="49" t="s">
        <v>1665</v>
      </c>
      <c r="H397" s="49" t="s">
        <v>1666</v>
      </c>
      <c r="I397" s="28" t="s">
        <v>1667</v>
      </c>
      <c r="J397" s="28" t="s">
        <v>1668</v>
      </c>
      <c r="K397" s="28" t="s">
        <v>1669</v>
      </c>
      <c r="L397" s="28" t="s">
        <v>1642</v>
      </c>
    </row>
    <row r="398" spans="1:12">
      <c r="A398" s="28" t="s">
        <v>1670</v>
      </c>
      <c r="B398" s="28" t="s">
        <v>1671</v>
      </c>
      <c r="C398" s="28" t="s">
        <v>1672</v>
      </c>
      <c r="D398" s="47" t="s">
        <v>136</v>
      </c>
      <c r="E398" s="47" t="s">
        <v>1274</v>
      </c>
      <c r="F398" s="28" t="s">
        <v>115</v>
      </c>
      <c r="G398" s="49" t="s">
        <v>1673</v>
      </c>
      <c r="H398" s="49" t="s">
        <v>775</v>
      </c>
      <c r="I398" s="28" t="s">
        <v>1674</v>
      </c>
      <c r="J398" s="28" t="s">
        <v>1022</v>
      </c>
      <c r="K398" s="28" t="s">
        <v>1675</v>
      </c>
      <c r="L398" s="28" t="s">
        <v>115</v>
      </c>
    </row>
    <row r="399" spans="1:12">
      <c r="A399" s="28" t="s">
        <v>1676</v>
      </c>
      <c r="B399" s="28" t="s">
        <v>1677</v>
      </c>
      <c r="C399" s="28" t="s">
        <v>1678</v>
      </c>
      <c r="D399" s="47" t="s">
        <v>125</v>
      </c>
      <c r="E399" s="47" t="s">
        <v>1274</v>
      </c>
      <c r="F399" s="28" t="s">
        <v>115</v>
      </c>
      <c r="G399" s="49" t="s">
        <v>1679</v>
      </c>
      <c r="H399" s="49" t="s">
        <v>995</v>
      </c>
      <c r="I399" s="28" t="s">
        <v>1680</v>
      </c>
      <c r="J399" s="28" t="s">
        <v>811</v>
      </c>
      <c r="K399" s="28" t="s">
        <v>1646</v>
      </c>
      <c r="L399" s="28" t="s">
        <v>115</v>
      </c>
    </row>
    <row r="400" spans="1:12">
      <c r="A400" s="28" t="s">
        <v>1681</v>
      </c>
      <c r="B400" s="28" t="s">
        <v>1682</v>
      </c>
      <c r="C400" s="28" t="s">
        <v>1623</v>
      </c>
      <c r="D400" s="47" t="s">
        <v>125</v>
      </c>
      <c r="E400" s="47" t="s">
        <v>114</v>
      </c>
      <c r="F400" s="28" t="s">
        <v>115</v>
      </c>
      <c r="G400" s="49" t="s">
        <v>1683</v>
      </c>
      <c r="H400" s="49" t="s">
        <v>865</v>
      </c>
      <c r="I400" s="28" t="s">
        <v>1684</v>
      </c>
      <c r="J400" s="28" t="s">
        <v>1280</v>
      </c>
      <c r="K400" s="28" t="s">
        <v>1625</v>
      </c>
      <c r="L400" s="28" t="s">
        <v>1544</v>
      </c>
    </row>
    <row r="401" spans="1:12">
      <c r="A401" s="28" t="s">
        <v>1685</v>
      </c>
      <c r="B401" s="28" t="s">
        <v>1686</v>
      </c>
      <c r="C401" s="28" t="s">
        <v>1687</v>
      </c>
      <c r="D401" s="47" t="s">
        <v>794</v>
      </c>
      <c r="E401" s="47" t="s">
        <v>113</v>
      </c>
      <c r="F401" s="28" t="s">
        <v>115</v>
      </c>
      <c r="G401" s="49" t="s">
        <v>1688</v>
      </c>
      <c r="H401" s="49" t="s">
        <v>1646</v>
      </c>
      <c r="I401" s="28" t="s">
        <v>1609</v>
      </c>
      <c r="J401" s="28" t="s">
        <v>1610</v>
      </c>
      <c r="K401" s="28" t="s">
        <v>1251</v>
      </c>
      <c r="L401" s="28" t="s">
        <v>115</v>
      </c>
    </row>
    <row r="402" spans="1:12">
      <c r="A402" s="28" t="s">
        <v>1689</v>
      </c>
      <c r="B402" s="28" t="s">
        <v>1690</v>
      </c>
      <c r="C402" s="28" t="s">
        <v>1551</v>
      </c>
      <c r="D402" s="47" t="s">
        <v>794</v>
      </c>
      <c r="E402" s="47" t="s">
        <v>257</v>
      </c>
      <c r="F402" s="28" t="s">
        <v>115</v>
      </c>
      <c r="G402" s="49" t="s">
        <v>1552</v>
      </c>
      <c r="H402" s="49" t="s">
        <v>1553</v>
      </c>
      <c r="I402" s="28" t="s">
        <v>1554</v>
      </c>
      <c r="J402" s="28" t="s">
        <v>1555</v>
      </c>
      <c r="K402" s="28" t="s">
        <v>1556</v>
      </c>
      <c r="L402" s="28" t="s">
        <v>115</v>
      </c>
    </row>
    <row r="403" spans="1:12">
      <c r="A403" s="28" t="s">
        <v>1691</v>
      </c>
      <c r="B403" s="28" t="s">
        <v>1692</v>
      </c>
      <c r="C403" s="28" t="s">
        <v>1693</v>
      </c>
      <c r="D403" s="47" t="s">
        <v>854</v>
      </c>
      <c r="E403" s="47" t="s">
        <v>850</v>
      </c>
      <c r="F403" s="28" t="s">
        <v>850</v>
      </c>
      <c r="G403" s="49" t="s">
        <v>1694</v>
      </c>
      <c r="H403" s="49" t="s">
        <v>385</v>
      </c>
      <c r="I403" s="28" t="s">
        <v>155</v>
      </c>
      <c r="J403" s="28" t="s">
        <v>215</v>
      </c>
      <c r="K403" s="28" t="s">
        <v>810</v>
      </c>
      <c r="L403" s="28" t="s">
        <v>115</v>
      </c>
    </row>
    <row r="404" spans="1:12">
      <c r="A404" s="28" t="s">
        <v>1695</v>
      </c>
      <c r="B404" s="28" t="s">
        <v>1696</v>
      </c>
      <c r="C404" s="28" t="s">
        <v>1697</v>
      </c>
      <c r="D404" s="47" t="s">
        <v>794</v>
      </c>
      <c r="E404" s="47" t="s">
        <v>257</v>
      </c>
      <c r="F404" s="28" t="s">
        <v>115</v>
      </c>
      <c r="G404" s="49" t="s">
        <v>1698</v>
      </c>
      <c r="H404" s="49" t="s">
        <v>1646</v>
      </c>
      <c r="I404" s="28" t="s">
        <v>1699</v>
      </c>
      <c r="J404" s="28" t="s">
        <v>264</v>
      </c>
      <c r="K404" s="28" t="s">
        <v>1108</v>
      </c>
      <c r="L404" s="28" t="s">
        <v>115</v>
      </c>
    </row>
    <row r="405" spans="1:12">
      <c r="A405" s="28" t="s">
        <v>1700</v>
      </c>
      <c r="B405" s="28" t="s">
        <v>1701</v>
      </c>
      <c r="C405" s="28" t="s">
        <v>1551</v>
      </c>
      <c r="D405" s="47" t="s">
        <v>794</v>
      </c>
      <c r="E405" s="47" t="s">
        <v>257</v>
      </c>
      <c r="F405" s="28" t="s">
        <v>115</v>
      </c>
      <c r="G405" s="49" t="s">
        <v>1702</v>
      </c>
      <c r="H405" s="49" t="s">
        <v>1646</v>
      </c>
      <c r="I405" s="28" t="s">
        <v>1609</v>
      </c>
      <c r="J405" s="28" t="s">
        <v>1610</v>
      </c>
      <c r="K405" s="28" t="s">
        <v>1251</v>
      </c>
      <c r="L405" s="28" t="s">
        <v>115</v>
      </c>
    </row>
    <row r="406" spans="1:12">
      <c r="A406" s="28" t="s">
        <v>1703</v>
      </c>
      <c r="B406" s="28" t="s">
        <v>1704</v>
      </c>
      <c r="C406" s="28" t="s">
        <v>496</v>
      </c>
      <c r="D406" s="47" t="s">
        <v>125</v>
      </c>
      <c r="E406" s="47" t="s">
        <v>1274</v>
      </c>
      <c r="F406" s="28" t="s">
        <v>115</v>
      </c>
      <c r="G406" s="49" t="s">
        <v>1705</v>
      </c>
      <c r="H406" s="49" t="s">
        <v>1385</v>
      </c>
      <c r="I406" s="28" t="s">
        <v>279</v>
      </c>
      <c r="J406" s="28" t="s">
        <v>188</v>
      </c>
      <c r="K406" s="28" t="s">
        <v>1610</v>
      </c>
      <c r="L406" s="28" t="s">
        <v>115</v>
      </c>
    </row>
    <row r="407" spans="1:12">
      <c r="A407" s="28" t="s">
        <v>1706</v>
      </c>
      <c r="B407" s="28" t="s">
        <v>1707</v>
      </c>
      <c r="C407" s="28" t="s">
        <v>496</v>
      </c>
      <c r="D407" s="47" t="s">
        <v>125</v>
      </c>
      <c r="E407" s="47" t="s">
        <v>1274</v>
      </c>
      <c r="F407" s="28" t="s">
        <v>115</v>
      </c>
      <c r="G407" s="49" t="s">
        <v>1708</v>
      </c>
      <c r="H407" s="49" t="s">
        <v>1385</v>
      </c>
      <c r="I407" s="28" t="s">
        <v>1556</v>
      </c>
      <c r="J407" s="28" t="s">
        <v>188</v>
      </c>
      <c r="K407" s="28" t="s">
        <v>1709</v>
      </c>
      <c r="L407" s="28" t="s">
        <v>115</v>
      </c>
    </row>
    <row r="408" spans="1:12">
      <c r="A408" s="28" t="s">
        <v>1710</v>
      </c>
      <c r="B408" s="28" t="s">
        <v>1711</v>
      </c>
      <c r="C408" s="28" t="s">
        <v>496</v>
      </c>
      <c r="D408" s="47" t="s">
        <v>125</v>
      </c>
      <c r="E408" s="47" t="s">
        <v>1274</v>
      </c>
      <c r="F408" s="28" t="s">
        <v>115</v>
      </c>
      <c r="G408" s="49" t="s">
        <v>1705</v>
      </c>
      <c r="H408" s="49" t="s">
        <v>1385</v>
      </c>
      <c r="I408" s="28" t="s">
        <v>279</v>
      </c>
      <c r="J408" s="28" t="s">
        <v>188</v>
      </c>
      <c r="K408" s="28" t="s">
        <v>1610</v>
      </c>
      <c r="L408" s="28" t="s">
        <v>115</v>
      </c>
    </row>
    <row r="409" spans="1:12">
      <c r="A409" s="28" t="s">
        <v>1712</v>
      </c>
      <c r="B409" s="28" t="s">
        <v>1713</v>
      </c>
      <c r="C409" s="28" t="s">
        <v>242</v>
      </c>
      <c r="D409" s="47" t="s">
        <v>113</v>
      </c>
      <c r="E409" s="47" t="s">
        <v>136</v>
      </c>
      <c r="F409" s="28" t="s">
        <v>115</v>
      </c>
      <c r="G409" s="49" t="s">
        <v>1714</v>
      </c>
      <c r="H409" s="49" t="s">
        <v>525</v>
      </c>
      <c r="I409" s="28" t="s">
        <v>365</v>
      </c>
      <c r="J409" s="28" t="s">
        <v>782</v>
      </c>
      <c r="K409" s="28" t="s">
        <v>782</v>
      </c>
      <c r="L409" s="28" t="s">
        <v>115</v>
      </c>
    </row>
    <row r="410" spans="1:12">
      <c r="A410" s="28" t="s">
        <v>1715</v>
      </c>
      <c r="B410" s="28" t="s">
        <v>1716</v>
      </c>
      <c r="C410" s="28" t="s">
        <v>1693</v>
      </c>
      <c r="D410" s="47" t="s">
        <v>854</v>
      </c>
      <c r="E410" s="47" t="s">
        <v>850</v>
      </c>
      <c r="F410" s="28" t="s">
        <v>115</v>
      </c>
      <c r="G410" s="49" t="s">
        <v>1717</v>
      </c>
      <c r="H410" s="49" t="s">
        <v>115</v>
      </c>
      <c r="I410" s="28" t="s">
        <v>155</v>
      </c>
      <c r="J410" s="28" t="s">
        <v>215</v>
      </c>
      <c r="K410" s="28" t="s">
        <v>810</v>
      </c>
      <c r="L410" s="28" t="s">
        <v>115</v>
      </c>
    </row>
    <row r="411" spans="1:12">
      <c r="A411" s="28" t="s">
        <v>1718</v>
      </c>
      <c r="B411" s="28" t="s">
        <v>1719</v>
      </c>
      <c r="C411" s="28" t="s">
        <v>1720</v>
      </c>
      <c r="D411" s="47" t="s">
        <v>113</v>
      </c>
      <c r="E411" s="47" t="s">
        <v>136</v>
      </c>
      <c r="F411" s="28" t="s">
        <v>115</v>
      </c>
      <c r="G411" s="49" t="s">
        <v>1721</v>
      </c>
      <c r="H411" s="49" t="s">
        <v>903</v>
      </c>
      <c r="I411" s="28" t="s">
        <v>1722</v>
      </c>
      <c r="J411" s="28" t="s">
        <v>223</v>
      </c>
      <c r="K411" s="28" t="s">
        <v>782</v>
      </c>
      <c r="L411" s="28" t="s">
        <v>1544</v>
      </c>
    </row>
    <row r="412" spans="1:12">
      <c r="A412" s="28" t="s">
        <v>1723</v>
      </c>
      <c r="B412" s="28" t="s">
        <v>1724</v>
      </c>
      <c r="C412" s="28" t="s">
        <v>1720</v>
      </c>
      <c r="D412" s="47" t="s">
        <v>113</v>
      </c>
      <c r="E412" s="47" t="s">
        <v>136</v>
      </c>
      <c r="F412" s="28" t="s">
        <v>115</v>
      </c>
      <c r="G412" s="49" t="s">
        <v>1721</v>
      </c>
      <c r="H412" s="49" t="s">
        <v>903</v>
      </c>
      <c r="I412" s="28" t="s">
        <v>1722</v>
      </c>
      <c r="J412" s="28" t="s">
        <v>223</v>
      </c>
      <c r="K412" s="28" t="s">
        <v>782</v>
      </c>
      <c r="L412" s="28" t="s">
        <v>1544</v>
      </c>
    </row>
    <row r="413" spans="1:12">
      <c r="A413" s="28" t="s">
        <v>1725</v>
      </c>
      <c r="B413" s="28" t="s">
        <v>1726</v>
      </c>
      <c r="C413" s="28" t="s">
        <v>523</v>
      </c>
      <c r="D413" s="47" t="s">
        <v>125</v>
      </c>
      <c r="E413" s="47" t="s">
        <v>365</v>
      </c>
      <c r="F413" s="28" t="s">
        <v>115</v>
      </c>
      <c r="G413" s="49" t="s">
        <v>1727</v>
      </c>
      <c r="H413" s="49" t="s">
        <v>640</v>
      </c>
      <c r="I413" s="28" t="s">
        <v>743</v>
      </c>
      <c r="J413" s="28" t="s">
        <v>985</v>
      </c>
      <c r="K413" s="28" t="s">
        <v>851</v>
      </c>
      <c r="L413" s="28" t="s">
        <v>115</v>
      </c>
    </row>
    <row r="414" spans="1:12">
      <c r="A414" s="28" t="s">
        <v>1728</v>
      </c>
      <c r="B414" s="28" t="s">
        <v>1729</v>
      </c>
      <c r="C414" s="28" t="s">
        <v>1730</v>
      </c>
      <c r="D414" s="47" t="s">
        <v>740</v>
      </c>
      <c r="E414" s="47" t="s">
        <v>317</v>
      </c>
      <c r="F414" s="28" t="s">
        <v>115</v>
      </c>
      <c r="G414" s="49" t="s">
        <v>741</v>
      </c>
      <c r="H414" s="49" t="s">
        <v>742</v>
      </c>
      <c r="I414" s="28" t="s">
        <v>743</v>
      </c>
      <c r="J414" s="28" t="s">
        <v>215</v>
      </c>
      <c r="K414" s="28" t="s">
        <v>744</v>
      </c>
      <c r="L414" s="28" t="s">
        <v>115</v>
      </c>
    </row>
    <row r="415" spans="1:12">
      <c r="A415" s="28" t="s">
        <v>1731</v>
      </c>
      <c r="B415" s="28" t="s">
        <v>1732</v>
      </c>
      <c r="C415" s="28" t="s">
        <v>1730</v>
      </c>
      <c r="D415" s="47" t="s">
        <v>740</v>
      </c>
      <c r="E415" s="47" t="s">
        <v>317</v>
      </c>
      <c r="F415" s="28" t="s">
        <v>115</v>
      </c>
      <c r="G415" s="49" t="s">
        <v>741</v>
      </c>
      <c r="H415" s="49" t="s">
        <v>742</v>
      </c>
      <c r="I415" s="28" t="s">
        <v>743</v>
      </c>
      <c r="J415" s="28" t="s">
        <v>215</v>
      </c>
      <c r="K415" s="28" t="s">
        <v>744</v>
      </c>
      <c r="L415" s="28" t="s">
        <v>115</v>
      </c>
    </row>
    <row r="416" spans="1:12">
      <c r="A416" s="28" t="s">
        <v>1733</v>
      </c>
      <c r="B416" s="28" t="s">
        <v>1734</v>
      </c>
      <c r="C416" s="28" t="s">
        <v>1730</v>
      </c>
      <c r="D416" s="47" t="s">
        <v>740</v>
      </c>
      <c r="E416" s="47" t="s">
        <v>1312</v>
      </c>
      <c r="F416" s="28" t="s">
        <v>115</v>
      </c>
      <c r="G416" s="49" t="s">
        <v>741</v>
      </c>
      <c r="H416" s="49" t="s">
        <v>742</v>
      </c>
      <c r="I416" s="28" t="s">
        <v>743</v>
      </c>
      <c r="J416" s="28" t="s">
        <v>215</v>
      </c>
      <c r="K416" s="28" t="s">
        <v>744</v>
      </c>
      <c r="L416" s="28" t="s">
        <v>115</v>
      </c>
    </row>
    <row r="417" spans="1:12">
      <c r="A417" s="28" t="s">
        <v>1735</v>
      </c>
      <c r="B417" s="28" t="s">
        <v>1736</v>
      </c>
      <c r="C417" s="28" t="s">
        <v>1730</v>
      </c>
      <c r="D417" s="47" t="s">
        <v>740</v>
      </c>
      <c r="E417" s="47" t="s">
        <v>1312</v>
      </c>
      <c r="F417" s="28" t="s">
        <v>115</v>
      </c>
      <c r="G417" s="49" t="s">
        <v>741</v>
      </c>
      <c r="H417" s="49" t="s">
        <v>742</v>
      </c>
      <c r="I417" s="28" t="s">
        <v>743</v>
      </c>
      <c r="J417" s="28" t="s">
        <v>215</v>
      </c>
      <c r="K417" s="28" t="s">
        <v>744</v>
      </c>
      <c r="L417" s="28" t="s">
        <v>115</v>
      </c>
    </row>
    <row r="418" spans="1:12">
      <c r="A418" s="28" t="s">
        <v>1737</v>
      </c>
      <c r="B418" s="28" t="s">
        <v>1738</v>
      </c>
      <c r="C418" s="28" t="s">
        <v>1551</v>
      </c>
      <c r="D418" s="47" t="s">
        <v>794</v>
      </c>
      <c r="E418" s="47" t="s">
        <v>257</v>
      </c>
      <c r="F418" s="28" t="s">
        <v>115</v>
      </c>
      <c r="G418" s="49" t="s">
        <v>1739</v>
      </c>
      <c r="H418" s="49" t="s">
        <v>1646</v>
      </c>
      <c r="I418" s="28" t="s">
        <v>284</v>
      </c>
      <c r="J418" s="28" t="s">
        <v>264</v>
      </c>
      <c r="K418" s="28" t="s">
        <v>152</v>
      </c>
      <c r="L418" s="28" t="s">
        <v>115</v>
      </c>
    </row>
    <row r="419" spans="1:12">
      <c r="A419" s="28" t="s">
        <v>1740</v>
      </c>
      <c r="B419" s="28" t="s">
        <v>1741</v>
      </c>
      <c r="C419" s="28" t="s">
        <v>1551</v>
      </c>
      <c r="D419" s="47" t="s">
        <v>794</v>
      </c>
      <c r="E419" s="47" t="s">
        <v>257</v>
      </c>
      <c r="F419" s="28" t="s">
        <v>115</v>
      </c>
      <c r="G419" s="49" t="s">
        <v>1742</v>
      </c>
      <c r="H419" s="49" t="s">
        <v>1646</v>
      </c>
      <c r="I419" s="28" t="s">
        <v>1743</v>
      </c>
      <c r="J419" s="28" t="s">
        <v>1610</v>
      </c>
      <c r="K419" s="28" t="s">
        <v>810</v>
      </c>
      <c r="L419" s="28" t="s">
        <v>115</v>
      </c>
    </row>
    <row r="420" spans="1:12">
      <c r="A420" s="28" t="s">
        <v>1744</v>
      </c>
      <c r="B420" s="28" t="s">
        <v>1745</v>
      </c>
      <c r="C420" s="28" t="s">
        <v>1551</v>
      </c>
      <c r="D420" s="47" t="s">
        <v>794</v>
      </c>
      <c r="E420" s="47" t="s">
        <v>257</v>
      </c>
      <c r="F420" s="28" t="s">
        <v>115</v>
      </c>
      <c r="G420" s="49" t="s">
        <v>1742</v>
      </c>
      <c r="H420" s="49" t="s">
        <v>1646</v>
      </c>
      <c r="I420" s="28" t="s">
        <v>1743</v>
      </c>
      <c r="J420" s="28" t="s">
        <v>1610</v>
      </c>
      <c r="K420" s="28" t="s">
        <v>810</v>
      </c>
      <c r="L420" s="28" t="s">
        <v>115</v>
      </c>
    </row>
    <row r="421" spans="1:12">
      <c r="A421" s="28" t="s">
        <v>1746</v>
      </c>
      <c r="B421" s="28" t="s">
        <v>1747</v>
      </c>
      <c r="C421" s="28" t="s">
        <v>1551</v>
      </c>
      <c r="D421" s="47" t="s">
        <v>794</v>
      </c>
      <c r="E421" s="47" t="s">
        <v>257</v>
      </c>
      <c r="F421" s="28" t="s">
        <v>115</v>
      </c>
      <c r="G421" s="49" t="s">
        <v>703</v>
      </c>
      <c r="H421" s="49" t="s">
        <v>1646</v>
      </c>
      <c r="I421" s="28" t="s">
        <v>1609</v>
      </c>
      <c r="J421" s="28" t="s">
        <v>1610</v>
      </c>
      <c r="K421" s="28" t="s">
        <v>1748</v>
      </c>
      <c r="L421" s="28" t="s">
        <v>115</v>
      </c>
    </row>
    <row r="422" spans="1:12">
      <c r="A422" s="28" t="s">
        <v>1749</v>
      </c>
      <c r="B422" s="28" t="s">
        <v>1750</v>
      </c>
      <c r="C422" s="28" t="s">
        <v>1551</v>
      </c>
      <c r="D422" s="47" t="s">
        <v>794</v>
      </c>
      <c r="E422" s="47" t="s">
        <v>257</v>
      </c>
      <c r="F422" s="28" t="s">
        <v>115</v>
      </c>
      <c r="G422" s="49" t="s">
        <v>1688</v>
      </c>
      <c r="H422" s="49" t="s">
        <v>985</v>
      </c>
      <c r="I422" s="28" t="s">
        <v>1609</v>
      </c>
      <c r="J422" s="28" t="s">
        <v>1610</v>
      </c>
      <c r="K422" s="28" t="s">
        <v>1251</v>
      </c>
      <c r="L422" s="28" t="s">
        <v>115</v>
      </c>
    </row>
    <row r="423" spans="1:12">
      <c r="A423" s="28" t="s">
        <v>1751</v>
      </c>
      <c r="B423" s="28" t="s">
        <v>1752</v>
      </c>
      <c r="C423" s="28" t="s">
        <v>1693</v>
      </c>
      <c r="D423" s="47" t="s">
        <v>854</v>
      </c>
      <c r="E423" s="47" t="s">
        <v>850</v>
      </c>
      <c r="F423" s="28" t="s">
        <v>115</v>
      </c>
      <c r="G423" s="49" t="s">
        <v>1694</v>
      </c>
      <c r="H423" s="49" t="s">
        <v>385</v>
      </c>
      <c r="I423" s="28" t="s">
        <v>155</v>
      </c>
      <c r="J423" s="28" t="s">
        <v>215</v>
      </c>
      <c r="K423" s="28" t="s">
        <v>810</v>
      </c>
      <c r="L423" s="28" t="s">
        <v>115</v>
      </c>
    </row>
    <row r="424" spans="1:12">
      <c r="A424" s="28" t="s">
        <v>1753</v>
      </c>
      <c r="B424" s="28" t="s">
        <v>1754</v>
      </c>
      <c r="C424" s="28" t="s">
        <v>1551</v>
      </c>
      <c r="D424" s="47" t="s">
        <v>794</v>
      </c>
      <c r="E424" s="47" t="s">
        <v>113</v>
      </c>
      <c r="F424" s="28" t="s">
        <v>115</v>
      </c>
      <c r="G424" s="49" t="s">
        <v>1688</v>
      </c>
      <c r="H424" s="49" t="s">
        <v>1646</v>
      </c>
      <c r="I424" s="28" t="s">
        <v>1609</v>
      </c>
      <c r="J424" s="28" t="s">
        <v>1610</v>
      </c>
      <c r="K424" s="28" t="s">
        <v>1251</v>
      </c>
      <c r="L424" s="28" t="s">
        <v>115</v>
      </c>
    </row>
    <row r="425" spans="1:12">
      <c r="A425" s="28" t="s">
        <v>1755</v>
      </c>
      <c r="B425" s="28" t="s">
        <v>1756</v>
      </c>
      <c r="C425" s="28" t="s">
        <v>174</v>
      </c>
      <c r="D425" s="47" t="s">
        <v>125</v>
      </c>
      <c r="E425" s="47" t="s">
        <v>439</v>
      </c>
      <c r="F425" s="28" t="s">
        <v>115</v>
      </c>
      <c r="G425" s="49" t="s">
        <v>1757</v>
      </c>
      <c r="H425" s="49" t="s">
        <v>254</v>
      </c>
      <c r="I425" s="28" t="s">
        <v>337</v>
      </c>
      <c r="J425" s="28" t="s">
        <v>269</v>
      </c>
      <c r="K425" s="28" t="s">
        <v>337</v>
      </c>
      <c r="L425" s="28" t="s">
        <v>115</v>
      </c>
    </row>
    <row r="426" spans="1:12">
      <c r="A426" s="28" t="s">
        <v>1758</v>
      </c>
      <c r="B426" s="28" t="s">
        <v>1759</v>
      </c>
      <c r="C426" s="28" t="s">
        <v>1551</v>
      </c>
      <c r="D426" s="47" t="s">
        <v>794</v>
      </c>
      <c r="E426" s="47" t="s">
        <v>115</v>
      </c>
      <c r="F426" s="28" t="s">
        <v>115</v>
      </c>
      <c r="G426" s="49" t="s">
        <v>115</v>
      </c>
      <c r="H426" s="49" t="s">
        <v>115</v>
      </c>
      <c r="I426" s="28" t="s">
        <v>115</v>
      </c>
      <c r="J426" s="28" t="s">
        <v>115</v>
      </c>
      <c r="K426" s="28" t="s">
        <v>115</v>
      </c>
      <c r="L426" s="28" t="s">
        <v>115</v>
      </c>
    </row>
    <row r="427" spans="1:12">
      <c r="A427" s="28" t="s">
        <v>1760</v>
      </c>
      <c r="B427" s="28" t="s">
        <v>1761</v>
      </c>
      <c r="C427" s="28" t="s">
        <v>1551</v>
      </c>
      <c r="D427" s="47" t="s">
        <v>794</v>
      </c>
      <c r="E427" s="47" t="s">
        <v>257</v>
      </c>
      <c r="F427" s="28" t="s">
        <v>115</v>
      </c>
      <c r="G427" s="49" t="s">
        <v>1688</v>
      </c>
      <c r="H427" s="49" t="s">
        <v>1646</v>
      </c>
      <c r="I427" s="28" t="s">
        <v>1609</v>
      </c>
      <c r="J427" s="28" t="s">
        <v>1610</v>
      </c>
      <c r="K427" s="28" t="s">
        <v>1251</v>
      </c>
      <c r="L427" s="28" t="s">
        <v>115</v>
      </c>
    </row>
    <row r="428" spans="1:12">
      <c r="A428" s="28" t="s">
        <v>1762</v>
      </c>
      <c r="B428" s="28" t="s">
        <v>1763</v>
      </c>
      <c r="C428" s="28" t="s">
        <v>523</v>
      </c>
      <c r="D428" s="47" t="s">
        <v>125</v>
      </c>
      <c r="E428" s="47" t="s">
        <v>365</v>
      </c>
      <c r="F428" s="28" t="s">
        <v>115</v>
      </c>
      <c r="G428" s="49" t="s">
        <v>1727</v>
      </c>
      <c r="H428" s="49" t="s">
        <v>640</v>
      </c>
      <c r="I428" s="28" t="s">
        <v>743</v>
      </c>
      <c r="J428" s="28" t="s">
        <v>985</v>
      </c>
      <c r="K428" s="28" t="s">
        <v>851</v>
      </c>
      <c r="L428" s="28" t="s">
        <v>115</v>
      </c>
    </row>
    <row r="429" spans="1:12">
      <c r="A429" s="28" t="s">
        <v>1764</v>
      </c>
      <c r="B429" s="28" t="s">
        <v>1765</v>
      </c>
      <c r="C429" s="28" t="s">
        <v>1551</v>
      </c>
      <c r="D429" s="47" t="s">
        <v>794</v>
      </c>
      <c r="E429" s="47" t="s">
        <v>257</v>
      </c>
      <c r="F429" s="28" t="s">
        <v>115</v>
      </c>
      <c r="G429" s="49" t="s">
        <v>1385</v>
      </c>
      <c r="H429" s="49" t="s">
        <v>1628</v>
      </c>
      <c r="I429" s="28" t="s">
        <v>115</v>
      </c>
      <c r="J429" s="28" t="s">
        <v>115</v>
      </c>
      <c r="K429" s="28" t="s">
        <v>115</v>
      </c>
      <c r="L429" s="28" t="s">
        <v>115</v>
      </c>
    </row>
    <row r="430" spans="1:12">
      <c r="A430" s="28" t="s">
        <v>1766</v>
      </c>
      <c r="B430" s="28" t="s">
        <v>1767</v>
      </c>
      <c r="C430" s="28" t="s">
        <v>1551</v>
      </c>
      <c r="D430" s="47" t="s">
        <v>794</v>
      </c>
      <c r="E430" s="47" t="s">
        <v>257</v>
      </c>
      <c r="F430" s="28" t="s">
        <v>115</v>
      </c>
      <c r="G430" s="49" t="s">
        <v>1552</v>
      </c>
      <c r="H430" s="49" t="s">
        <v>1553</v>
      </c>
      <c r="I430" s="28" t="s">
        <v>1554</v>
      </c>
      <c r="J430" s="28" t="s">
        <v>1555</v>
      </c>
      <c r="K430" s="28" t="s">
        <v>1556</v>
      </c>
      <c r="L430" s="28" t="s">
        <v>115</v>
      </c>
    </row>
    <row r="431" spans="1:12">
      <c r="A431" s="28" t="s">
        <v>1768</v>
      </c>
      <c r="B431" s="28" t="s">
        <v>1769</v>
      </c>
      <c r="C431" s="28" t="s">
        <v>1551</v>
      </c>
      <c r="D431" s="47" t="s">
        <v>794</v>
      </c>
      <c r="E431" s="47" t="s">
        <v>257</v>
      </c>
      <c r="F431" s="28" t="s">
        <v>115</v>
      </c>
      <c r="G431" s="49" t="s">
        <v>1702</v>
      </c>
      <c r="H431" s="49" t="s">
        <v>1646</v>
      </c>
      <c r="I431" s="28" t="s">
        <v>1609</v>
      </c>
      <c r="J431" s="28" t="s">
        <v>1610</v>
      </c>
      <c r="K431" s="28" t="s">
        <v>1251</v>
      </c>
      <c r="L431" s="28" t="s">
        <v>115</v>
      </c>
    </row>
    <row r="432" spans="1:12">
      <c r="A432" s="28" t="s">
        <v>1770</v>
      </c>
      <c r="B432" s="28" t="s">
        <v>1771</v>
      </c>
      <c r="C432" s="28" t="s">
        <v>1693</v>
      </c>
      <c r="D432" s="47" t="s">
        <v>854</v>
      </c>
      <c r="E432" s="47" t="s">
        <v>850</v>
      </c>
      <c r="F432" s="28" t="s">
        <v>115</v>
      </c>
      <c r="G432" s="49" t="s">
        <v>1552</v>
      </c>
      <c r="H432" s="49" t="s">
        <v>1553</v>
      </c>
      <c r="I432" s="28" t="s">
        <v>1554</v>
      </c>
      <c r="J432" s="28" t="s">
        <v>1555</v>
      </c>
      <c r="K432" s="28" t="s">
        <v>1556</v>
      </c>
      <c r="L432" s="28" t="s">
        <v>115</v>
      </c>
    </row>
    <row r="433" spans="1:12">
      <c r="A433" s="28" t="s">
        <v>1772</v>
      </c>
      <c r="B433" s="28" t="s">
        <v>1773</v>
      </c>
      <c r="C433" s="28" t="s">
        <v>1774</v>
      </c>
      <c r="D433" s="47" t="s">
        <v>409</v>
      </c>
      <c r="E433" s="47" t="s">
        <v>257</v>
      </c>
      <c r="F433" s="28" t="s">
        <v>115</v>
      </c>
      <c r="G433" s="49" t="s">
        <v>1775</v>
      </c>
      <c r="H433" s="49" t="s">
        <v>530</v>
      </c>
      <c r="I433" s="28" t="s">
        <v>227</v>
      </c>
      <c r="J433" s="28" t="s">
        <v>206</v>
      </c>
      <c r="K433" s="28" t="s">
        <v>743</v>
      </c>
      <c r="L433" s="28" t="s">
        <v>115</v>
      </c>
    </row>
    <row r="434" spans="1:12">
      <c r="A434" s="28" t="s">
        <v>1776</v>
      </c>
      <c r="B434" s="28" t="s">
        <v>1777</v>
      </c>
      <c r="C434" s="28" t="s">
        <v>1551</v>
      </c>
      <c r="D434" s="47" t="s">
        <v>794</v>
      </c>
      <c r="E434" s="47" t="s">
        <v>257</v>
      </c>
      <c r="F434" s="28" t="s">
        <v>115</v>
      </c>
      <c r="G434" s="49" t="s">
        <v>1552</v>
      </c>
      <c r="H434" s="49" t="s">
        <v>1553</v>
      </c>
      <c r="I434" s="28" t="s">
        <v>1554</v>
      </c>
      <c r="J434" s="28" t="s">
        <v>1555</v>
      </c>
      <c r="K434" s="28" t="s">
        <v>1556</v>
      </c>
      <c r="L434" s="28" t="s">
        <v>115</v>
      </c>
    </row>
    <row r="435" spans="1:12">
      <c r="A435" s="28" t="s">
        <v>1778</v>
      </c>
      <c r="B435" s="28" t="s">
        <v>1594</v>
      </c>
      <c r="C435" s="28" t="s">
        <v>523</v>
      </c>
      <c r="D435" s="47" t="s">
        <v>125</v>
      </c>
      <c r="E435" s="47" t="s">
        <v>365</v>
      </c>
      <c r="F435" s="28" t="s">
        <v>115</v>
      </c>
      <c r="G435" s="49" t="s">
        <v>1779</v>
      </c>
      <c r="H435" s="49" t="s">
        <v>1596</v>
      </c>
      <c r="I435" s="28" t="s">
        <v>743</v>
      </c>
      <c r="J435" s="28" t="s">
        <v>985</v>
      </c>
      <c r="K435" s="28" t="s">
        <v>782</v>
      </c>
      <c r="L435" s="28" t="s">
        <v>1544</v>
      </c>
    </row>
    <row r="436" spans="1:12">
      <c r="A436" s="28" t="s">
        <v>1780</v>
      </c>
      <c r="B436" s="28" t="s">
        <v>1704</v>
      </c>
      <c r="C436" s="28" t="s">
        <v>706</v>
      </c>
      <c r="D436" s="47" t="s">
        <v>113</v>
      </c>
      <c r="E436" s="47" t="s">
        <v>153</v>
      </c>
      <c r="F436" s="28" t="s">
        <v>115</v>
      </c>
      <c r="G436" s="49" t="s">
        <v>1781</v>
      </c>
      <c r="H436" s="49" t="s">
        <v>1782</v>
      </c>
      <c r="I436" s="28" t="s">
        <v>308</v>
      </c>
      <c r="J436" s="28" t="s">
        <v>188</v>
      </c>
      <c r="K436" s="28" t="s">
        <v>1312</v>
      </c>
      <c r="L436" s="28" t="s">
        <v>115</v>
      </c>
    </row>
    <row r="437" spans="1:12">
      <c r="A437" s="28" t="s">
        <v>1783</v>
      </c>
      <c r="B437" s="28" t="s">
        <v>1707</v>
      </c>
      <c r="C437" s="28" t="s">
        <v>706</v>
      </c>
      <c r="D437" s="47" t="s">
        <v>113</v>
      </c>
      <c r="E437" s="47" t="s">
        <v>153</v>
      </c>
      <c r="F437" s="28" t="s">
        <v>115</v>
      </c>
      <c r="G437" s="49" t="s">
        <v>1784</v>
      </c>
      <c r="H437" s="49" t="s">
        <v>1785</v>
      </c>
      <c r="I437" s="28" t="s">
        <v>308</v>
      </c>
      <c r="J437" s="28" t="s">
        <v>188</v>
      </c>
      <c r="K437" s="28" t="s">
        <v>385</v>
      </c>
      <c r="L437" s="28" t="s">
        <v>115</v>
      </c>
    </row>
    <row r="438" spans="1:12">
      <c r="A438" s="28" t="s">
        <v>1786</v>
      </c>
      <c r="B438" s="28" t="s">
        <v>1711</v>
      </c>
      <c r="C438" s="28" t="s">
        <v>706</v>
      </c>
      <c r="D438" s="47" t="s">
        <v>113</v>
      </c>
      <c r="E438" s="47" t="s">
        <v>153</v>
      </c>
      <c r="F438" s="28" t="s">
        <v>115</v>
      </c>
      <c r="G438" s="49" t="s">
        <v>1784</v>
      </c>
      <c r="H438" s="49" t="s">
        <v>1785</v>
      </c>
      <c r="I438" s="28" t="s">
        <v>308</v>
      </c>
      <c r="J438" s="28" t="s">
        <v>188</v>
      </c>
      <c r="K438" s="28" t="s">
        <v>385</v>
      </c>
      <c r="L438" s="28" t="s">
        <v>115</v>
      </c>
    </row>
    <row r="439" spans="1:12">
      <c r="A439" s="28" t="s">
        <v>1787</v>
      </c>
      <c r="B439" s="28" t="s">
        <v>1788</v>
      </c>
      <c r="C439" s="28" t="s">
        <v>670</v>
      </c>
      <c r="D439" s="47" t="s">
        <v>113</v>
      </c>
      <c r="E439" s="47" t="s">
        <v>276</v>
      </c>
      <c r="F439" s="28" t="s">
        <v>115</v>
      </c>
      <c r="G439" s="49" t="s">
        <v>1582</v>
      </c>
      <c r="H439" s="49" t="s">
        <v>538</v>
      </c>
      <c r="I439" s="28" t="s">
        <v>1381</v>
      </c>
      <c r="J439" s="28" t="s">
        <v>188</v>
      </c>
      <c r="K439" s="28" t="s">
        <v>975</v>
      </c>
      <c r="L439" s="28" t="s">
        <v>1544</v>
      </c>
    </row>
    <row r="440" spans="1:12">
      <c r="A440" s="28" t="s">
        <v>1789</v>
      </c>
      <c r="B440" s="28" t="s">
        <v>1790</v>
      </c>
      <c r="C440" s="28" t="s">
        <v>496</v>
      </c>
      <c r="D440" s="47" t="s">
        <v>125</v>
      </c>
      <c r="E440" s="47" t="s">
        <v>953</v>
      </c>
      <c r="F440" s="28" t="s">
        <v>115</v>
      </c>
      <c r="G440" s="49" t="s">
        <v>1791</v>
      </c>
      <c r="H440" s="49" t="s">
        <v>575</v>
      </c>
      <c r="I440" s="28" t="s">
        <v>1015</v>
      </c>
      <c r="J440" s="28" t="s">
        <v>956</v>
      </c>
      <c r="K440" s="28" t="s">
        <v>526</v>
      </c>
      <c r="L440" s="28" t="s">
        <v>361</v>
      </c>
    </row>
    <row r="441" spans="1:12">
      <c r="A441" s="28" t="s">
        <v>1792</v>
      </c>
      <c r="B441" s="28" t="s">
        <v>1793</v>
      </c>
      <c r="C441" s="28" t="s">
        <v>935</v>
      </c>
      <c r="D441" s="47" t="s">
        <v>113</v>
      </c>
      <c r="E441" s="47" t="s">
        <v>365</v>
      </c>
      <c r="F441" s="28" t="s">
        <v>115</v>
      </c>
      <c r="G441" s="49" t="s">
        <v>1794</v>
      </c>
      <c r="H441" s="49" t="s">
        <v>413</v>
      </c>
      <c r="I441" s="28" t="s">
        <v>1795</v>
      </c>
      <c r="J441" s="28" t="s">
        <v>566</v>
      </c>
      <c r="K441" s="28" t="s">
        <v>269</v>
      </c>
      <c r="L441" s="28" t="s">
        <v>361</v>
      </c>
    </row>
    <row r="442" spans="1:12">
      <c r="A442" s="28" t="s">
        <v>1796</v>
      </c>
      <c r="B442" s="28" t="s">
        <v>1797</v>
      </c>
      <c r="C442" s="28" t="s">
        <v>1798</v>
      </c>
      <c r="D442" s="47" t="s">
        <v>113</v>
      </c>
      <c r="E442" s="47" t="s">
        <v>365</v>
      </c>
      <c r="F442" s="28" t="s">
        <v>115</v>
      </c>
      <c r="G442" s="49" t="s">
        <v>1799</v>
      </c>
      <c r="H442" s="49" t="s">
        <v>1030</v>
      </c>
      <c r="I442" s="28" t="s">
        <v>744</v>
      </c>
      <c r="J442" s="28" t="s">
        <v>551</v>
      </c>
      <c r="K442" s="28" t="s">
        <v>520</v>
      </c>
      <c r="L442" s="28" t="s">
        <v>361</v>
      </c>
    </row>
    <row r="443" spans="1:12">
      <c r="A443" s="28" t="s">
        <v>1800</v>
      </c>
      <c r="B443" s="28" t="s">
        <v>1801</v>
      </c>
      <c r="C443" s="28" t="s">
        <v>935</v>
      </c>
      <c r="D443" s="47" t="s">
        <v>113</v>
      </c>
      <c r="E443" s="47" t="s">
        <v>365</v>
      </c>
      <c r="F443" s="28" t="s">
        <v>115</v>
      </c>
      <c r="G443" s="49" t="s">
        <v>1802</v>
      </c>
      <c r="H443" s="49" t="s">
        <v>1496</v>
      </c>
      <c r="I443" s="28" t="s">
        <v>1795</v>
      </c>
      <c r="J443" s="28" t="s">
        <v>724</v>
      </c>
      <c r="K443" s="28" t="s">
        <v>932</v>
      </c>
      <c r="L443" s="28" t="s">
        <v>115</v>
      </c>
    </row>
    <row r="444" spans="1:12">
      <c r="A444" s="28" t="s">
        <v>1803</v>
      </c>
      <c r="B444" s="28" t="s">
        <v>1804</v>
      </c>
      <c r="C444" s="28" t="s">
        <v>1798</v>
      </c>
      <c r="D444" s="47" t="s">
        <v>113</v>
      </c>
      <c r="E444" s="47" t="s">
        <v>365</v>
      </c>
      <c r="F444" s="28" t="s">
        <v>115</v>
      </c>
      <c r="G444" s="49" t="s">
        <v>1805</v>
      </c>
      <c r="H444" s="49" t="s">
        <v>1003</v>
      </c>
      <c r="I444" s="28" t="s">
        <v>1806</v>
      </c>
      <c r="J444" s="28" t="s">
        <v>975</v>
      </c>
      <c r="K444" s="28" t="s">
        <v>1807</v>
      </c>
      <c r="L444" s="28" t="s">
        <v>115</v>
      </c>
    </row>
    <row r="445" spans="1:12">
      <c r="A445" s="28" t="s">
        <v>1808</v>
      </c>
      <c r="B445" s="28" t="s">
        <v>1809</v>
      </c>
      <c r="C445" s="28" t="s">
        <v>1810</v>
      </c>
      <c r="D445" s="47" t="s">
        <v>409</v>
      </c>
      <c r="E445" s="47" t="s">
        <v>1450</v>
      </c>
      <c r="F445" s="28" t="s">
        <v>115</v>
      </c>
      <c r="G445" s="49" t="s">
        <v>1811</v>
      </c>
      <c r="H445" s="49" t="s">
        <v>246</v>
      </c>
      <c r="I445" s="28" t="s">
        <v>264</v>
      </c>
      <c r="J445" s="28" t="s">
        <v>652</v>
      </c>
      <c r="K445" s="28" t="s">
        <v>769</v>
      </c>
      <c r="L445" s="28" t="s">
        <v>361</v>
      </c>
    </row>
    <row r="446" spans="1:12">
      <c r="A446" s="28" t="s">
        <v>1812</v>
      </c>
      <c r="B446" s="28" t="s">
        <v>1813</v>
      </c>
      <c r="C446" s="28" t="s">
        <v>1810</v>
      </c>
      <c r="D446" s="47" t="s">
        <v>409</v>
      </c>
      <c r="E446" s="47" t="s">
        <v>1450</v>
      </c>
      <c r="F446" s="28" t="s">
        <v>115</v>
      </c>
      <c r="G446" s="49" t="s">
        <v>1811</v>
      </c>
      <c r="H446" s="49" t="s">
        <v>246</v>
      </c>
      <c r="I446" s="28" t="s">
        <v>264</v>
      </c>
      <c r="J446" s="28" t="s">
        <v>652</v>
      </c>
      <c r="K446" s="28" t="s">
        <v>769</v>
      </c>
      <c r="L446" s="28" t="s">
        <v>361</v>
      </c>
    </row>
    <row r="447" spans="1:12">
      <c r="A447" s="28" t="s">
        <v>1814</v>
      </c>
      <c r="B447" s="28" t="s">
        <v>1815</v>
      </c>
      <c r="C447" s="28" t="s">
        <v>1810</v>
      </c>
      <c r="D447" s="47" t="s">
        <v>409</v>
      </c>
      <c r="E447" s="47" t="s">
        <v>1450</v>
      </c>
      <c r="F447" s="28" t="s">
        <v>115</v>
      </c>
      <c r="G447" s="49" t="s">
        <v>1811</v>
      </c>
      <c r="H447" s="49" t="s">
        <v>246</v>
      </c>
      <c r="I447" s="28" t="s">
        <v>264</v>
      </c>
      <c r="J447" s="28" t="s">
        <v>652</v>
      </c>
      <c r="K447" s="28" t="s">
        <v>769</v>
      </c>
      <c r="L447" s="28" t="s">
        <v>361</v>
      </c>
    </row>
    <row r="448" spans="1:12">
      <c r="A448" s="28" t="s">
        <v>1816</v>
      </c>
      <c r="B448" s="28" t="s">
        <v>1817</v>
      </c>
      <c r="C448" s="28" t="s">
        <v>1818</v>
      </c>
      <c r="D448" s="47" t="s">
        <v>125</v>
      </c>
      <c r="E448" s="47" t="s">
        <v>252</v>
      </c>
      <c r="F448" s="28" t="s">
        <v>115</v>
      </c>
      <c r="G448" s="49" t="s">
        <v>1819</v>
      </c>
      <c r="H448" s="49" t="s">
        <v>605</v>
      </c>
      <c r="I448" s="28" t="s">
        <v>146</v>
      </c>
      <c r="J448" s="28" t="s">
        <v>249</v>
      </c>
      <c r="K448" s="28" t="s">
        <v>257</v>
      </c>
      <c r="L448" s="28" t="s">
        <v>168</v>
      </c>
    </row>
    <row r="449" spans="1:12">
      <c r="A449" s="28" t="s">
        <v>1820</v>
      </c>
      <c r="B449" s="28" t="s">
        <v>1821</v>
      </c>
      <c r="C449" s="28" t="s">
        <v>356</v>
      </c>
      <c r="D449" s="47" t="s">
        <v>113</v>
      </c>
      <c r="E449" s="47" t="s">
        <v>252</v>
      </c>
      <c r="F449" s="28" t="s">
        <v>115</v>
      </c>
      <c r="G449" s="49" t="s">
        <v>1822</v>
      </c>
      <c r="H449" s="49" t="s">
        <v>895</v>
      </c>
      <c r="I449" s="28" t="s">
        <v>1823</v>
      </c>
      <c r="J449" s="28" t="s">
        <v>130</v>
      </c>
      <c r="K449" s="28" t="s">
        <v>296</v>
      </c>
      <c r="L449" s="28" t="s">
        <v>361</v>
      </c>
    </row>
    <row r="450" spans="1:12">
      <c r="A450" s="28" t="s">
        <v>1824</v>
      </c>
      <c r="B450" s="28" t="s">
        <v>1825</v>
      </c>
      <c r="C450" s="28" t="s">
        <v>496</v>
      </c>
      <c r="D450" s="47" t="s">
        <v>125</v>
      </c>
      <c r="E450" s="47" t="s">
        <v>252</v>
      </c>
      <c r="F450" s="28" t="s">
        <v>115</v>
      </c>
      <c r="G450" s="49" t="s">
        <v>1826</v>
      </c>
      <c r="H450" s="49" t="s">
        <v>302</v>
      </c>
      <c r="I450" s="28" t="s">
        <v>146</v>
      </c>
      <c r="J450" s="28" t="s">
        <v>975</v>
      </c>
      <c r="K450" s="28" t="s">
        <v>804</v>
      </c>
      <c r="L450" s="28" t="s">
        <v>168</v>
      </c>
    </row>
    <row r="451" spans="1:12">
      <c r="A451" s="28" t="s">
        <v>1827</v>
      </c>
      <c r="B451" s="28" t="s">
        <v>1828</v>
      </c>
      <c r="C451" s="28" t="s">
        <v>163</v>
      </c>
      <c r="D451" s="47" t="s">
        <v>113</v>
      </c>
      <c r="E451" s="47" t="s">
        <v>227</v>
      </c>
      <c r="F451" s="28" t="s">
        <v>115</v>
      </c>
      <c r="G451" s="49" t="s">
        <v>1829</v>
      </c>
      <c r="H451" s="49" t="s">
        <v>165</v>
      </c>
      <c r="I451" s="28" t="s">
        <v>118</v>
      </c>
      <c r="J451" s="28" t="s">
        <v>223</v>
      </c>
      <c r="K451" s="28" t="s">
        <v>627</v>
      </c>
      <c r="L451" s="28" t="s">
        <v>168</v>
      </c>
    </row>
    <row r="452" spans="1:12">
      <c r="A452" s="28" t="s">
        <v>1830</v>
      </c>
      <c r="B452" s="28" t="s">
        <v>1831</v>
      </c>
      <c r="C452" s="28" t="s">
        <v>163</v>
      </c>
      <c r="D452" s="47" t="s">
        <v>113</v>
      </c>
      <c r="E452" s="47" t="s">
        <v>227</v>
      </c>
      <c r="F452" s="28" t="s">
        <v>115</v>
      </c>
      <c r="G452" s="49" t="s">
        <v>1829</v>
      </c>
      <c r="H452" s="49" t="s">
        <v>165</v>
      </c>
      <c r="I452" s="28" t="s">
        <v>118</v>
      </c>
      <c r="J452" s="28" t="s">
        <v>223</v>
      </c>
      <c r="K452" s="28" t="s">
        <v>627</v>
      </c>
      <c r="L452" s="28" t="s">
        <v>168</v>
      </c>
    </row>
    <row r="453" spans="1:12">
      <c r="A453" s="28" t="s">
        <v>1832</v>
      </c>
      <c r="B453" s="28" t="s">
        <v>1833</v>
      </c>
      <c r="C453" s="28" t="s">
        <v>1834</v>
      </c>
      <c r="D453" s="47" t="s">
        <v>794</v>
      </c>
      <c r="E453" s="47" t="s">
        <v>252</v>
      </c>
      <c r="F453" s="28" t="s">
        <v>115</v>
      </c>
      <c r="G453" s="49" t="s">
        <v>1835</v>
      </c>
      <c r="H453" s="49" t="s">
        <v>413</v>
      </c>
      <c r="I453" s="28" t="s">
        <v>146</v>
      </c>
      <c r="J453" s="28" t="s">
        <v>443</v>
      </c>
      <c r="K453" s="28" t="s">
        <v>296</v>
      </c>
      <c r="L453" s="28" t="s">
        <v>168</v>
      </c>
    </row>
    <row r="454" spans="1:12">
      <c r="A454" s="28" t="s">
        <v>1836</v>
      </c>
      <c r="B454" s="28" t="s">
        <v>1837</v>
      </c>
      <c r="C454" s="28" t="s">
        <v>163</v>
      </c>
      <c r="D454" s="47" t="s">
        <v>113</v>
      </c>
      <c r="E454" s="47" t="s">
        <v>152</v>
      </c>
      <c r="F454" s="28" t="s">
        <v>115</v>
      </c>
      <c r="G454" s="49" t="s">
        <v>164</v>
      </c>
      <c r="H454" s="49" t="s">
        <v>165</v>
      </c>
      <c r="I454" s="28" t="s">
        <v>146</v>
      </c>
      <c r="J454" s="28" t="s">
        <v>166</v>
      </c>
      <c r="K454" s="28" t="s">
        <v>167</v>
      </c>
      <c r="L454" s="28" t="s">
        <v>168</v>
      </c>
    </row>
    <row r="455" spans="1:12">
      <c r="A455" s="28" t="s">
        <v>1838</v>
      </c>
      <c r="B455" s="28" t="s">
        <v>1839</v>
      </c>
      <c r="C455" s="28" t="s">
        <v>1818</v>
      </c>
      <c r="D455" s="47" t="s">
        <v>125</v>
      </c>
      <c r="E455" s="47" t="s">
        <v>252</v>
      </c>
      <c r="F455" s="28" t="s">
        <v>115</v>
      </c>
      <c r="G455" s="49" t="s">
        <v>1840</v>
      </c>
      <c r="H455" s="49" t="s">
        <v>413</v>
      </c>
      <c r="I455" s="28" t="s">
        <v>1841</v>
      </c>
      <c r="J455" s="28" t="s">
        <v>498</v>
      </c>
      <c r="K455" s="28" t="s">
        <v>296</v>
      </c>
      <c r="L455" s="28" t="s">
        <v>168</v>
      </c>
    </row>
    <row r="456" spans="1:12">
      <c r="A456" s="28" t="s">
        <v>1842</v>
      </c>
      <c r="B456" s="28" t="s">
        <v>1843</v>
      </c>
      <c r="C456" s="28" t="s">
        <v>670</v>
      </c>
      <c r="D456" s="47" t="s">
        <v>113</v>
      </c>
      <c r="E456" s="47" t="s">
        <v>837</v>
      </c>
      <c r="F456" s="28" t="s">
        <v>115</v>
      </c>
      <c r="G456" s="49" t="s">
        <v>1844</v>
      </c>
      <c r="H456" s="49" t="s">
        <v>530</v>
      </c>
      <c r="I456" s="28" t="s">
        <v>761</v>
      </c>
      <c r="J456" s="28" t="s">
        <v>223</v>
      </c>
      <c r="K456" s="28" t="s">
        <v>1845</v>
      </c>
      <c r="L456" s="28" t="s">
        <v>115</v>
      </c>
    </row>
    <row r="457" spans="1:12">
      <c r="A457" s="28" t="s">
        <v>1846</v>
      </c>
      <c r="B457" s="28" t="s">
        <v>1847</v>
      </c>
      <c r="C457" s="28" t="s">
        <v>242</v>
      </c>
      <c r="D457" s="47" t="s">
        <v>113</v>
      </c>
      <c r="E457" s="47" t="s">
        <v>284</v>
      </c>
      <c r="F457" s="28" t="s">
        <v>115</v>
      </c>
      <c r="G457" s="49" t="s">
        <v>1848</v>
      </c>
      <c r="H457" s="49" t="s">
        <v>583</v>
      </c>
      <c r="I457" s="28" t="s">
        <v>146</v>
      </c>
      <c r="J457" s="28" t="s">
        <v>216</v>
      </c>
      <c r="K457" s="28" t="s">
        <v>1849</v>
      </c>
      <c r="L457" s="28" t="s">
        <v>361</v>
      </c>
    </row>
    <row r="458" spans="1:12">
      <c r="A458" s="28" t="s">
        <v>1850</v>
      </c>
      <c r="B458" s="28" t="s">
        <v>1851</v>
      </c>
      <c r="C458" s="28" t="s">
        <v>1852</v>
      </c>
      <c r="D458" s="47" t="s">
        <v>113</v>
      </c>
      <c r="E458" s="47" t="s">
        <v>213</v>
      </c>
      <c r="F458" s="28" t="s">
        <v>115</v>
      </c>
      <c r="G458" s="49" t="s">
        <v>1853</v>
      </c>
      <c r="H458" s="49" t="s">
        <v>525</v>
      </c>
      <c r="I458" s="28" t="s">
        <v>1748</v>
      </c>
      <c r="J458" s="28" t="s">
        <v>385</v>
      </c>
      <c r="K458" s="28" t="s">
        <v>932</v>
      </c>
      <c r="L458" s="28" t="s">
        <v>121</v>
      </c>
    </row>
    <row r="459" spans="1:12">
      <c r="A459" s="28" t="s">
        <v>1854</v>
      </c>
      <c r="B459" s="28" t="s">
        <v>1855</v>
      </c>
      <c r="C459" s="28" t="s">
        <v>171</v>
      </c>
      <c r="D459" s="47" t="s">
        <v>113</v>
      </c>
      <c r="E459" s="47" t="s">
        <v>115</v>
      </c>
      <c r="F459" s="28" t="s">
        <v>115</v>
      </c>
      <c r="G459" s="49" t="s">
        <v>115</v>
      </c>
      <c r="H459" s="49" t="s">
        <v>115</v>
      </c>
      <c r="I459" s="28" t="s">
        <v>115</v>
      </c>
      <c r="J459" s="28" t="s">
        <v>115</v>
      </c>
      <c r="K459" s="28" t="s">
        <v>115</v>
      </c>
      <c r="L459" s="28" t="s">
        <v>115</v>
      </c>
    </row>
    <row r="460" spans="1:12">
      <c r="A460" s="28" t="s">
        <v>1856</v>
      </c>
      <c r="B460" s="28" t="s">
        <v>1857</v>
      </c>
      <c r="C460" s="28" t="s">
        <v>1858</v>
      </c>
      <c r="D460" s="47" t="s">
        <v>125</v>
      </c>
      <c r="E460" s="47" t="s">
        <v>115</v>
      </c>
      <c r="F460" s="28" t="s">
        <v>115</v>
      </c>
      <c r="G460" s="49" t="s">
        <v>115</v>
      </c>
      <c r="H460" s="49" t="s">
        <v>115</v>
      </c>
      <c r="I460" s="28" t="s">
        <v>115</v>
      </c>
      <c r="J460" s="28" t="s">
        <v>115</v>
      </c>
      <c r="K460" s="28" t="s">
        <v>115</v>
      </c>
      <c r="L460" s="28" t="s">
        <v>115</v>
      </c>
    </row>
    <row r="461" spans="1:12">
      <c r="A461" s="28" t="s">
        <v>1859</v>
      </c>
      <c r="B461" s="28" t="s">
        <v>1860</v>
      </c>
      <c r="C461" s="28" t="s">
        <v>1861</v>
      </c>
      <c r="D461" s="47" t="s">
        <v>113</v>
      </c>
      <c r="E461" s="47" t="s">
        <v>1123</v>
      </c>
      <c r="F461" s="28" t="s">
        <v>115</v>
      </c>
      <c r="G461" s="49" t="s">
        <v>1862</v>
      </c>
      <c r="H461" s="49" t="s">
        <v>1863</v>
      </c>
      <c r="I461" s="28" t="s">
        <v>1453</v>
      </c>
      <c r="J461" s="28" t="s">
        <v>257</v>
      </c>
      <c r="K461" s="28" t="s">
        <v>403</v>
      </c>
      <c r="L461" s="28" t="s">
        <v>1544</v>
      </c>
    </row>
    <row r="462" spans="1:12">
      <c r="A462" s="28" t="s">
        <v>1864</v>
      </c>
      <c r="B462" s="28" t="s">
        <v>1865</v>
      </c>
      <c r="C462" s="28" t="s">
        <v>1866</v>
      </c>
      <c r="D462" s="47" t="s">
        <v>113</v>
      </c>
      <c r="E462" s="47" t="s">
        <v>252</v>
      </c>
      <c r="F462" s="28" t="s">
        <v>115</v>
      </c>
      <c r="G462" s="49" t="s">
        <v>1867</v>
      </c>
      <c r="H462" s="49" t="s">
        <v>177</v>
      </c>
      <c r="I462" s="28" t="s">
        <v>782</v>
      </c>
      <c r="J462" s="28" t="s">
        <v>269</v>
      </c>
      <c r="K462" s="28" t="s">
        <v>1868</v>
      </c>
      <c r="L462" s="28" t="s">
        <v>1544</v>
      </c>
    </row>
    <row r="463" spans="1:12">
      <c r="A463" s="28" t="s">
        <v>1869</v>
      </c>
      <c r="B463" s="28" t="s">
        <v>1870</v>
      </c>
      <c r="C463" s="28" t="s">
        <v>1861</v>
      </c>
      <c r="D463" s="47" t="s">
        <v>113</v>
      </c>
      <c r="E463" s="47" t="s">
        <v>1123</v>
      </c>
      <c r="F463" s="28" t="s">
        <v>115</v>
      </c>
      <c r="G463" s="49" t="s">
        <v>1871</v>
      </c>
      <c r="H463" s="49" t="s">
        <v>1863</v>
      </c>
      <c r="I463" s="28" t="s">
        <v>551</v>
      </c>
      <c r="J463" s="28" t="s">
        <v>296</v>
      </c>
      <c r="K463" s="28" t="s">
        <v>344</v>
      </c>
      <c r="L463" s="28" t="s">
        <v>361</v>
      </c>
    </row>
    <row r="464" spans="1:12">
      <c r="A464" s="28" t="s">
        <v>1872</v>
      </c>
      <c r="B464" s="28" t="s">
        <v>1873</v>
      </c>
      <c r="C464" s="28" t="s">
        <v>1874</v>
      </c>
      <c r="D464" s="47" t="s">
        <v>113</v>
      </c>
      <c r="E464" s="47" t="s">
        <v>1123</v>
      </c>
      <c r="F464" s="28" t="s">
        <v>115</v>
      </c>
      <c r="G464" s="49" t="s">
        <v>1875</v>
      </c>
      <c r="H464" s="49" t="s">
        <v>1072</v>
      </c>
      <c r="I464" s="28" t="s">
        <v>1245</v>
      </c>
      <c r="J464" s="28" t="s">
        <v>296</v>
      </c>
      <c r="K464" s="28" t="s">
        <v>222</v>
      </c>
      <c r="L464" s="28" t="s">
        <v>1544</v>
      </c>
    </row>
    <row r="465" spans="1:12">
      <c r="A465" s="28" t="s">
        <v>1876</v>
      </c>
      <c r="B465" s="28" t="s">
        <v>1877</v>
      </c>
      <c r="C465" s="28" t="s">
        <v>1878</v>
      </c>
      <c r="D465" s="47" t="s">
        <v>113</v>
      </c>
      <c r="E465" s="47" t="s">
        <v>314</v>
      </c>
      <c r="F465" s="28" t="s">
        <v>115</v>
      </c>
      <c r="G465" s="49" t="s">
        <v>1879</v>
      </c>
      <c r="H465" s="49" t="s">
        <v>1880</v>
      </c>
      <c r="I465" s="28" t="s">
        <v>215</v>
      </c>
      <c r="J465" s="28" t="s">
        <v>223</v>
      </c>
      <c r="K465" s="28" t="s">
        <v>731</v>
      </c>
      <c r="L465" s="28" t="s">
        <v>361</v>
      </c>
    </row>
    <row r="466" spans="1:12">
      <c r="A466" s="28" t="s">
        <v>1881</v>
      </c>
      <c r="B466" s="28" t="s">
        <v>1882</v>
      </c>
      <c r="C466" s="28" t="s">
        <v>1878</v>
      </c>
      <c r="D466" s="47" t="s">
        <v>113</v>
      </c>
      <c r="E466" s="47" t="s">
        <v>314</v>
      </c>
      <c r="F466" s="28" t="s">
        <v>115</v>
      </c>
      <c r="G466" s="49" t="s">
        <v>1879</v>
      </c>
      <c r="H466" s="49" t="s">
        <v>1880</v>
      </c>
      <c r="I466" s="28" t="s">
        <v>215</v>
      </c>
      <c r="J466" s="28" t="s">
        <v>223</v>
      </c>
      <c r="K466" s="28" t="s">
        <v>731</v>
      </c>
      <c r="L466" s="28" t="s">
        <v>361</v>
      </c>
    </row>
    <row r="467" spans="1:12">
      <c r="A467" s="28" t="s">
        <v>1883</v>
      </c>
      <c r="B467" s="28" t="s">
        <v>1884</v>
      </c>
      <c r="C467" s="28" t="s">
        <v>1878</v>
      </c>
      <c r="D467" s="47" t="s">
        <v>113</v>
      </c>
      <c r="E467" s="47" t="s">
        <v>314</v>
      </c>
      <c r="F467" s="28" t="s">
        <v>115</v>
      </c>
      <c r="G467" s="49" t="s">
        <v>1879</v>
      </c>
      <c r="H467" s="49" t="s">
        <v>1880</v>
      </c>
      <c r="I467" s="28" t="s">
        <v>215</v>
      </c>
      <c r="J467" s="28" t="s">
        <v>223</v>
      </c>
      <c r="K467" s="28" t="s">
        <v>731</v>
      </c>
      <c r="L467" s="28" t="s">
        <v>361</v>
      </c>
    </row>
    <row r="468" spans="1:12">
      <c r="A468" s="28" t="s">
        <v>1885</v>
      </c>
      <c r="B468" s="28" t="s">
        <v>1886</v>
      </c>
      <c r="C468" s="28" t="s">
        <v>947</v>
      </c>
      <c r="D468" s="47" t="s">
        <v>113</v>
      </c>
      <c r="E468" s="47" t="s">
        <v>314</v>
      </c>
      <c r="F468" s="28" t="s">
        <v>115</v>
      </c>
      <c r="G468" s="49" t="s">
        <v>1887</v>
      </c>
      <c r="H468" s="49" t="s">
        <v>1888</v>
      </c>
      <c r="I468" s="28" t="s">
        <v>146</v>
      </c>
      <c r="J468" s="28" t="s">
        <v>256</v>
      </c>
      <c r="K468" s="28" t="s">
        <v>167</v>
      </c>
      <c r="L468" s="28" t="s">
        <v>115</v>
      </c>
    </row>
    <row r="469" spans="1:12">
      <c r="A469" s="28" t="s">
        <v>1889</v>
      </c>
      <c r="B469" s="28" t="s">
        <v>1890</v>
      </c>
      <c r="C469" s="28" t="s">
        <v>1891</v>
      </c>
      <c r="D469" s="47" t="s">
        <v>113</v>
      </c>
      <c r="E469" s="47" t="s">
        <v>837</v>
      </c>
      <c r="F469" s="28" t="s">
        <v>115</v>
      </c>
      <c r="G469" s="49" t="s">
        <v>1892</v>
      </c>
      <c r="H469" s="49" t="s">
        <v>1893</v>
      </c>
      <c r="I469" s="28" t="s">
        <v>1049</v>
      </c>
      <c r="J469" s="28" t="s">
        <v>1894</v>
      </c>
      <c r="K469" s="28" t="s">
        <v>1119</v>
      </c>
      <c r="L469" s="28" t="s">
        <v>361</v>
      </c>
    </row>
    <row r="470" spans="1:12">
      <c r="A470" s="28" t="s">
        <v>1895</v>
      </c>
      <c r="B470" s="28" t="s">
        <v>1896</v>
      </c>
      <c r="C470" s="28" t="s">
        <v>1897</v>
      </c>
      <c r="D470" s="47" t="s">
        <v>113</v>
      </c>
      <c r="E470" s="47" t="s">
        <v>261</v>
      </c>
      <c r="F470" s="28" t="s">
        <v>115</v>
      </c>
      <c r="G470" s="49" t="s">
        <v>1898</v>
      </c>
      <c r="H470" s="49" t="s">
        <v>1899</v>
      </c>
      <c r="I470" s="28" t="s">
        <v>1553</v>
      </c>
      <c r="J470" s="28" t="s">
        <v>1453</v>
      </c>
      <c r="K470" s="28" t="s">
        <v>269</v>
      </c>
      <c r="L470" s="28" t="s">
        <v>361</v>
      </c>
    </row>
    <row r="471" spans="1:12">
      <c r="A471" s="28" t="s">
        <v>1900</v>
      </c>
      <c r="B471" s="28" t="s">
        <v>1901</v>
      </c>
      <c r="C471" s="28" t="s">
        <v>1891</v>
      </c>
      <c r="D471" s="47" t="s">
        <v>113</v>
      </c>
      <c r="E471" s="47" t="s">
        <v>837</v>
      </c>
      <c r="F471" s="28" t="s">
        <v>115</v>
      </c>
      <c r="G471" s="49" t="s">
        <v>1892</v>
      </c>
      <c r="H471" s="49" t="s">
        <v>1893</v>
      </c>
      <c r="I471" s="28" t="s">
        <v>1049</v>
      </c>
      <c r="J471" s="28" t="s">
        <v>1894</v>
      </c>
      <c r="K471" s="28" t="s">
        <v>1119</v>
      </c>
      <c r="L471" s="28" t="s">
        <v>361</v>
      </c>
    </row>
    <row r="472" spans="1:12">
      <c r="A472" s="28" t="s">
        <v>1902</v>
      </c>
      <c r="B472" s="28" t="s">
        <v>1903</v>
      </c>
      <c r="C472" s="28" t="s">
        <v>1897</v>
      </c>
      <c r="D472" s="47" t="s">
        <v>113</v>
      </c>
      <c r="E472" s="47" t="s">
        <v>261</v>
      </c>
      <c r="F472" s="28" t="s">
        <v>115</v>
      </c>
      <c r="G472" s="49" t="s">
        <v>1898</v>
      </c>
      <c r="H472" s="49" t="s">
        <v>1899</v>
      </c>
      <c r="I472" s="28" t="s">
        <v>1553</v>
      </c>
      <c r="J472" s="28" t="s">
        <v>1453</v>
      </c>
      <c r="K472" s="28" t="s">
        <v>269</v>
      </c>
      <c r="L472" s="28" t="s">
        <v>361</v>
      </c>
    </row>
    <row r="473" spans="1:12">
      <c r="A473" s="28" t="s">
        <v>1904</v>
      </c>
      <c r="B473" s="28" t="s">
        <v>1905</v>
      </c>
      <c r="C473" s="28" t="s">
        <v>1891</v>
      </c>
      <c r="D473" s="47" t="s">
        <v>113</v>
      </c>
      <c r="E473" s="47" t="s">
        <v>153</v>
      </c>
      <c r="F473" s="28" t="s">
        <v>115</v>
      </c>
      <c r="G473" s="49" t="s">
        <v>1892</v>
      </c>
      <c r="H473" s="49" t="s">
        <v>1893</v>
      </c>
      <c r="I473" s="28" t="s">
        <v>1049</v>
      </c>
      <c r="J473" s="28" t="s">
        <v>1894</v>
      </c>
      <c r="K473" s="28" t="s">
        <v>1119</v>
      </c>
      <c r="L473" s="28" t="s">
        <v>115</v>
      </c>
    </row>
    <row r="474" spans="1:12">
      <c r="A474" s="28" t="s">
        <v>1906</v>
      </c>
      <c r="B474" s="28" t="s">
        <v>1907</v>
      </c>
      <c r="C474" s="28" t="s">
        <v>187</v>
      </c>
      <c r="D474" s="47" t="s">
        <v>125</v>
      </c>
      <c r="E474" s="47" t="s">
        <v>1013</v>
      </c>
      <c r="F474" s="28" t="s">
        <v>115</v>
      </c>
      <c r="G474" s="49" t="s">
        <v>1908</v>
      </c>
      <c r="H474" s="49" t="s">
        <v>1909</v>
      </c>
      <c r="I474" s="28" t="s">
        <v>264</v>
      </c>
      <c r="J474" s="28" t="s">
        <v>309</v>
      </c>
      <c r="K474" s="28" t="s">
        <v>596</v>
      </c>
      <c r="L474" s="28" t="s">
        <v>115</v>
      </c>
    </row>
    <row r="475" spans="1:12">
      <c r="A475" s="28" t="s">
        <v>1910</v>
      </c>
      <c r="B475" s="28" t="s">
        <v>1911</v>
      </c>
      <c r="C475" s="28" t="s">
        <v>1912</v>
      </c>
      <c r="D475" s="47" t="s">
        <v>113</v>
      </c>
      <c r="E475" s="47" t="s">
        <v>837</v>
      </c>
      <c r="F475" s="28" t="s">
        <v>115</v>
      </c>
      <c r="G475" s="49" t="s">
        <v>1913</v>
      </c>
      <c r="H475" s="49" t="s">
        <v>465</v>
      </c>
      <c r="I475" s="28" t="s">
        <v>680</v>
      </c>
      <c r="J475" s="28" t="s">
        <v>331</v>
      </c>
      <c r="K475" s="28" t="s">
        <v>1036</v>
      </c>
      <c r="L475" s="28" t="s">
        <v>1544</v>
      </c>
    </row>
    <row r="476" spans="1:12">
      <c r="A476" s="28" t="s">
        <v>1914</v>
      </c>
      <c r="B476" s="28" t="s">
        <v>1915</v>
      </c>
      <c r="C476" s="28" t="s">
        <v>1912</v>
      </c>
      <c r="D476" s="47" t="s">
        <v>113</v>
      </c>
      <c r="E476" s="47" t="s">
        <v>837</v>
      </c>
      <c r="F476" s="28" t="s">
        <v>115</v>
      </c>
      <c r="G476" s="49" t="s">
        <v>1913</v>
      </c>
      <c r="H476" s="49" t="s">
        <v>465</v>
      </c>
      <c r="I476" s="28" t="s">
        <v>680</v>
      </c>
      <c r="J476" s="28" t="s">
        <v>331</v>
      </c>
      <c r="K476" s="28" t="s">
        <v>1036</v>
      </c>
      <c r="L476" s="28" t="s">
        <v>1544</v>
      </c>
    </row>
    <row r="477" spans="1:12">
      <c r="A477" s="28" t="s">
        <v>1916</v>
      </c>
      <c r="B477" s="28" t="s">
        <v>1917</v>
      </c>
      <c r="C477" s="28" t="s">
        <v>1918</v>
      </c>
      <c r="D477" s="47" t="s">
        <v>113</v>
      </c>
      <c r="E477" s="47" t="s">
        <v>837</v>
      </c>
      <c r="F477" s="28" t="s">
        <v>115</v>
      </c>
      <c r="G477" s="49" t="s">
        <v>1919</v>
      </c>
      <c r="H477" s="49" t="s">
        <v>1167</v>
      </c>
      <c r="I477" s="28" t="s">
        <v>975</v>
      </c>
      <c r="J477" s="28" t="s">
        <v>192</v>
      </c>
      <c r="K477" s="28" t="s">
        <v>1236</v>
      </c>
      <c r="L477" s="28" t="s">
        <v>1544</v>
      </c>
    </row>
    <row r="478" spans="1:12">
      <c r="A478" s="28" t="s">
        <v>1920</v>
      </c>
      <c r="B478" s="28" t="s">
        <v>1921</v>
      </c>
      <c r="C478" s="28" t="s">
        <v>1922</v>
      </c>
      <c r="D478" s="47" t="s">
        <v>113</v>
      </c>
      <c r="E478" s="47" t="s">
        <v>810</v>
      </c>
      <c r="F478" s="28" t="s">
        <v>1923</v>
      </c>
      <c r="G478" s="49" t="s">
        <v>1924</v>
      </c>
      <c r="H478" s="49" t="s">
        <v>431</v>
      </c>
      <c r="I478" s="28" t="s">
        <v>1709</v>
      </c>
      <c r="J478" s="28" t="s">
        <v>249</v>
      </c>
      <c r="K478" s="28" t="s">
        <v>156</v>
      </c>
      <c r="L478" s="28" t="s">
        <v>121</v>
      </c>
    </row>
    <row r="479" spans="1:12">
      <c r="A479" s="28" t="s">
        <v>1925</v>
      </c>
      <c r="B479" s="28" t="s">
        <v>1926</v>
      </c>
      <c r="C479" s="28" t="s">
        <v>1922</v>
      </c>
      <c r="D479" s="47" t="s">
        <v>113</v>
      </c>
      <c r="E479" s="47" t="s">
        <v>810</v>
      </c>
      <c r="F479" s="28" t="s">
        <v>1927</v>
      </c>
      <c r="G479" s="49" t="s">
        <v>1928</v>
      </c>
      <c r="H479" s="49" t="s">
        <v>1929</v>
      </c>
      <c r="I479" s="28" t="s">
        <v>680</v>
      </c>
      <c r="J479" s="28" t="s">
        <v>520</v>
      </c>
      <c r="K479" s="28" t="s">
        <v>125</v>
      </c>
      <c r="L479" s="28" t="s">
        <v>115</v>
      </c>
    </row>
    <row r="480" spans="1:12">
      <c r="A480" s="28" t="s">
        <v>1930</v>
      </c>
      <c r="B480" s="28" t="s">
        <v>1931</v>
      </c>
      <c r="C480" s="28" t="s">
        <v>1798</v>
      </c>
      <c r="D480" s="47" t="s">
        <v>113</v>
      </c>
      <c r="E480" s="47" t="s">
        <v>115</v>
      </c>
      <c r="F480" s="28" t="s">
        <v>115</v>
      </c>
      <c r="G480" s="49" t="s">
        <v>1932</v>
      </c>
      <c r="H480" s="49" t="s">
        <v>1666</v>
      </c>
      <c r="I480" s="28" t="s">
        <v>520</v>
      </c>
      <c r="J480" s="28" t="s">
        <v>192</v>
      </c>
      <c r="K480" s="28" t="s">
        <v>192</v>
      </c>
      <c r="L480" s="28" t="s">
        <v>115</v>
      </c>
    </row>
    <row r="481" spans="1:12">
      <c r="A481" s="28" t="s">
        <v>1933</v>
      </c>
      <c r="B481" s="28" t="s">
        <v>1934</v>
      </c>
      <c r="C481" s="28" t="s">
        <v>1935</v>
      </c>
      <c r="D481" s="47" t="s">
        <v>113</v>
      </c>
      <c r="E481" s="47" t="s">
        <v>115</v>
      </c>
      <c r="F481" s="28" t="s">
        <v>115</v>
      </c>
      <c r="G481" s="49" t="s">
        <v>115</v>
      </c>
      <c r="H481" s="49" t="s">
        <v>115</v>
      </c>
      <c r="I481" s="28" t="s">
        <v>115</v>
      </c>
      <c r="J481" s="28" t="s">
        <v>115</v>
      </c>
      <c r="K481" s="28" t="s">
        <v>115</v>
      </c>
      <c r="L481" s="28" t="s">
        <v>115</v>
      </c>
    </row>
    <row r="482" spans="1:12">
      <c r="A482" s="28" t="s">
        <v>1936</v>
      </c>
      <c r="B482" s="28" t="s">
        <v>1937</v>
      </c>
      <c r="C482" s="28" t="s">
        <v>1938</v>
      </c>
      <c r="D482" s="47" t="s">
        <v>113</v>
      </c>
      <c r="E482" s="47" t="s">
        <v>314</v>
      </c>
      <c r="F482" s="28" t="s">
        <v>115</v>
      </c>
      <c r="G482" s="49" t="s">
        <v>1939</v>
      </c>
      <c r="H482" s="49" t="s">
        <v>1385</v>
      </c>
      <c r="I482" s="28" t="s">
        <v>611</v>
      </c>
      <c r="J482" s="28" t="s">
        <v>940</v>
      </c>
      <c r="K482" s="28" t="s">
        <v>360</v>
      </c>
      <c r="L482" s="28" t="s">
        <v>115</v>
      </c>
    </row>
    <row r="483" spans="1:12">
      <c r="A483" s="28" t="s">
        <v>1940</v>
      </c>
      <c r="B483" s="28" t="s">
        <v>1941</v>
      </c>
      <c r="C483" s="28" t="s">
        <v>112</v>
      </c>
      <c r="D483" s="47" t="s">
        <v>113</v>
      </c>
      <c r="E483" s="47" t="s">
        <v>953</v>
      </c>
      <c r="F483" s="28" t="s">
        <v>115</v>
      </c>
      <c r="G483" s="49" t="s">
        <v>1942</v>
      </c>
      <c r="H483" s="49" t="s">
        <v>117</v>
      </c>
      <c r="I483" s="28" t="s">
        <v>215</v>
      </c>
      <c r="J483" s="28" t="s">
        <v>216</v>
      </c>
      <c r="K483" s="28" t="s">
        <v>1167</v>
      </c>
      <c r="L483" s="28" t="s">
        <v>121</v>
      </c>
    </row>
    <row r="484" spans="1:12">
      <c r="A484" s="28" t="s">
        <v>1943</v>
      </c>
      <c r="B484" s="28" t="s">
        <v>1944</v>
      </c>
      <c r="C484" s="28" t="s">
        <v>163</v>
      </c>
      <c r="D484" s="47" t="s">
        <v>113</v>
      </c>
      <c r="E484" s="47" t="s">
        <v>893</v>
      </c>
      <c r="F484" s="28" t="s">
        <v>115</v>
      </c>
      <c r="G484" s="49" t="s">
        <v>1485</v>
      </c>
      <c r="H484" s="49" t="s">
        <v>730</v>
      </c>
      <c r="I484" s="28" t="s">
        <v>130</v>
      </c>
      <c r="J484" s="28" t="s">
        <v>200</v>
      </c>
      <c r="K484" s="28" t="s">
        <v>403</v>
      </c>
      <c r="L484" s="28" t="s">
        <v>361</v>
      </c>
    </row>
    <row r="485" spans="1:12">
      <c r="A485" s="28" t="s">
        <v>1945</v>
      </c>
      <c r="B485" s="28" t="s">
        <v>1946</v>
      </c>
      <c r="C485" s="28" t="s">
        <v>1404</v>
      </c>
      <c r="D485" s="47" t="s">
        <v>113</v>
      </c>
      <c r="E485" s="47" t="s">
        <v>213</v>
      </c>
      <c r="F485" s="28" t="s">
        <v>115</v>
      </c>
      <c r="G485" s="49" t="s">
        <v>1353</v>
      </c>
      <c r="H485" s="49" t="s">
        <v>1405</v>
      </c>
      <c r="I485" s="28" t="s">
        <v>1244</v>
      </c>
      <c r="J485" s="28" t="s">
        <v>820</v>
      </c>
      <c r="K485" s="28" t="s">
        <v>257</v>
      </c>
      <c r="L485" s="28" t="s">
        <v>361</v>
      </c>
    </row>
    <row r="486" spans="1:12">
      <c r="A486" s="28" t="s">
        <v>1947</v>
      </c>
      <c r="B486" s="28" t="s">
        <v>1948</v>
      </c>
      <c r="C486" s="28" t="s">
        <v>1949</v>
      </c>
      <c r="D486" s="47" t="s">
        <v>113</v>
      </c>
      <c r="E486" s="47" t="s">
        <v>357</v>
      </c>
      <c r="F486" s="28" t="s">
        <v>115</v>
      </c>
      <c r="G486" s="49" t="s">
        <v>1950</v>
      </c>
      <c r="H486" s="49" t="s">
        <v>525</v>
      </c>
      <c r="I486" s="28" t="s">
        <v>346</v>
      </c>
      <c r="J486" s="28" t="s">
        <v>750</v>
      </c>
      <c r="K486" s="28" t="s">
        <v>1190</v>
      </c>
      <c r="L486" s="28" t="s">
        <v>361</v>
      </c>
    </row>
    <row r="487" spans="1:12">
      <c r="A487" s="28" t="s">
        <v>1951</v>
      </c>
      <c r="B487" s="28" t="s">
        <v>1952</v>
      </c>
      <c r="C487" s="28" t="s">
        <v>235</v>
      </c>
      <c r="D487" s="47" t="s">
        <v>113</v>
      </c>
      <c r="E487" s="47" t="s">
        <v>213</v>
      </c>
      <c r="F487" s="28" t="s">
        <v>115</v>
      </c>
      <c r="G487" s="49" t="s">
        <v>1419</v>
      </c>
      <c r="H487" s="49" t="s">
        <v>464</v>
      </c>
      <c r="I487" s="28" t="s">
        <v>1289</v>
      </c>
      <c r="J487" s="28" t="s">
        <v>820</v>
      </c>
      <c r="K487" s="28" t="s">
        <v>441</v>
      </c>
      <c r="L487" s="28" t="s">
        <v>361</v>
      </c>
    </row>
    <row r="488" spans="1:12">
      <c r="A488" s="28" t="s">
        <v>1953</v>
      </c>
      <c r="B488" s="28" t="s">
        <v>1954</v>
      </c>
      <c r="C488" s="28" t="s">
        <v>235</v>
      </c>
      <c r="D488" s="47" t="s">
        <v>113</v>
      </c>
      <c r="E488" s="47" t="s">
        <v>213</v>
      </c>
      <c r="F488" s="28" t="s">
        <v>115</v>
      </c>
      <c r="G488" s="49" t="s">
        <v>1419</v>
      </c>
      <c r="H488" s="49" t="s">
        <v>464</v>
      </c>
      <c r="I488" s="28" t="s">
        <v>1289</v>
      </c>
      <c r="J488" s="28" t="s">
        <v>820</v>
      </c>
      <c r="K488" s="28" t="s">
        <v>441</v>
      </c>
      <c r="L488" s="28" t="s">
        <v>361</v>
      </c>
    </row>
    <row r="489" spans="1:12">
      <c r="A489" s="28" t="s">
        <v>1955</v>
      </c>
      <c r="B489" s="28" t="s">
        <v>1956</v>
      </c>
      <c r="C489" s="28" t="s">
        <v>1214</v>
      </c>
      <c r="D489" s="47" t="s">
        <v>113</v>
      </c>
      <c r="E489" s="47" t="s">
        <v>136</v>
      </c>
      <c r="F489" s="28" t="s">
        <v>115</v>
      </c>
      <c r="G489" s="49" t="s">
        <v>1957</v>
      </c>
      <c r="H489" s="49" t="s">
        <v>1529</v>
      </c>
      <c r="I489" s="28" t="s">
        <v>279</v>
      </c>
      <c r="J489" s="28" t="s">
        <v>346</v>
      </c>
      <c r="K489" s="28" t="s">
        <v>596</v>
      </c>
      <c r="L489" s="28" t="s">
        <v>361</v>
      </c>
    </row>
    <row r="490" spans="1:12">
      <c r="A490" s="28" t="s">
        <v>1958</v>
      </c>
      <c r="B490" s="28" t="s">
        <v>1959</v>
      </c>
      <c r="C490" s="28" t="s">
        <v>260</v>
      </c>
      <c r="D490" s="47" t="s">
        <v>113</v>
      </c>
      <c r="E490" s="47" t="s">
        <v>213</v>
      </c>
      <c r="F490" s="28" t="s">
        <v>115</v>
      </c>
      <c r="G490" s="49" t="s">
        <v>1960</v>
      </c>
      <c r="H490" s="49" t="s">
        <v>794</v>
      </c>
      <c r="I490" s="28" t="s">
        <v>1204</v>
      </c>
      <c r="J490" s="28" t="s">
        <v>820</v>
      </c>
      <c r="K490" s="28" t="s">
        <v>347</v>
      </c>
      <c r="L490" s="28" t="s">
        <v>361</v>
      </c>
    </row>
    <row r="491" spans="1:12">
      <c r="A491" s="28" t="s">
        <v>1961</v>
      </c>
      <c r="B491" s="28" t="s">
        <v>1962</v>
      </c>
      <c r="C491" s="28" t="s">
        <v>1963</v>
      </c>
      <c r="D491" s="47" t="s">
        <v>125</v>
      </c>
      <c r="E491" s="47" t="s">
        <v>1274</v>
      </c>
      <c r="F491" s="28" t="s">
        <v>115</v>
      </c>
      <c r="G491" s="49" t="s">
        <v>1440</v>
      </c>
      <c r="H491" s="49" t="s">
        <v>465</v>
      </c>
      <c r="I491" s="28" t="s">
        <v>1013</v>
      </c>
      <c r="J491" s="28" t="s">
        <v>394</v>
      </c>
      <c r="K491" s="28" t="s">
        <v>820</v>
      </c>
      <c r="L491" s="28" t="s">
        <v>361</v>
      </c>
    </row>
    <row r="492" spans="1:12">
      <c r="A492" s="28" t="s">
        <v>1964</v>
      </c>
      <c r="B492" s="28" t="s">
        <v>1965</v>
      </c>
      <c r="C492" s="28" t="s">
        <v>1404</v>
      </c>
      <c r="D492" s="47" t="s">
        <v>113</v>
      </c>
      <c r="E492" s="47" t="s">
        <v>213</v>
      </c>
      <c r="F492" s="28" t="s">
        <v>115</v>
      </c>
      <c r="G492" s="49" t="s">
        <v>1353</v>
      </c>
      <c r="H492" s="49" t="s">
        <v>1405</v>
      </c>
      <c r="I492" s="28" t="s">
        <v>1244</v>
      </c>
      <c r="J492" s="28" t="s">
        <v>820</v>
      </c>
      <c r="K492" s="28" t="s">
        <v>257</v>
      </c>
      <c r="L492" s="28" t="s">
        <v>361</v>
      </c>
    </row>
    <row r="493" spans="1:12">
      <c r="A493" s="28" t="s">
        <v>1966</v>
      </c>
      <c r="B493" s="28" t="s">
        <v>1967</v>
      </c>
      <c r="C493" s="28" t="s">
        <v>1404</v>
      </c>
      <c r="D493" s="47" t="s">
        <v>113</v>
      </c>
      <c r="E493" s="47" t="s">
        <v>213</v>
      </c>
      <c r="F493" s="28" t="s">
        <v>115</v>
      </c>
      <c r="G493" s="49" t="s">
        <v>1353</v>
      </c>
      <c r="H493" s="49" t="s">
        <v>1405</v>
      </c>
      <c r="I493" s="28" t="s">
        <v>1244</v>
      </c>
      <c r="J493" s="28" t="s">
        <v>820</v>
      </c>
      <c r="K493" s="28" t="s">
        <v>257</v>
      </c>
      <c r="L493" s="28" t="s">
        <v>361</v>
      </c>
    </row>
    <row r="494" spans="1:12">
      <c r="A494" s="28" t="s">
        <v>1968</v>
      </c>
      <c r="B494" s="28" t="s">
        <v>1969</v>
      </c>
      <c r="C494" s="28" t="s">
        <v>112</v>
      </c>
      <c r="D494" s="47" t="s">
        <v>113</v>
      </c>
      <c r="E494" s="47" t="s">
        <v>284</v>
      </c>
      <c r="F494" s="28" t="s">
        <v>115</v>
      </c>
      <c r="G494" s="49" t="s">
        <v>1315</v>
      </c>
      <c r="H494" s="49" t="s">
        <v>401</v>
      </c>
      <c r="I494" s="28" t="s">
        <v>1204</v>
      </c>
      <c r="J494" s="28" t="s">
        <v>820</v>
      </c>
      <c r="K494" s="28" t="s">
        <v>672</v>
      </c>
      <c r="L494" s="28" t="s">
        <v>115</v>
      </c>
    </row>
    <row r="495" spans="1:12">
      <c r="A495" s="28" t="s">
        <v>1970</v>
      </c>
      <c r="B495" s="28" t="s">
        <v>1971</v>
      </c>
      <c r="C495" s="28" t="s">
        <v>242</v>
      </c>
      <c r="D495" s="47" t="s">
        <v>113</v>
      </c>
      <c r="E495" s="47" t="s">
        <v>370</v>
      </c>
      <c r="F495" s="28" t="s">
        <v>115</v>
      </c>
      <c r="G495" s="49" t="s">
        <v>1972</v>
      </c>
      <c r="H495" s="49" t="s">
        <v>1358</v>
      </c>
      <c r="I495" s="28" t="s">
        <v>130</v>
      </c>
      <c r="J495" s="28" t="s">
        <v>402</v>
      </c>
      <c r="K495" s="28" t="s">
        <v>846</v>
      </c>
      <c r="L495" s="28" t="s">
        <v>361</v>
      </c>
    </row>
    <row r="496" spans="1:12">
      <c r="A496" s="28" t="s">
        <v>1973</v>
      </c>
      <c r="B496" s="28" t="s">
        <v>1974</v>
      </c>
      <c r="C496" s="28" t="s">
        <v>1132</v>
      </c>
      <c r="D496" s="47" t="s">
        <v>113</v>
      </c>
      <c r="E496" s="47" t="s">
        <v>370</v>
      </c>
      <c r="F496" s="28" t="s">
        <v>115</v>
      </c>
      <c r="G496" s="49" t="s">
        <v>1485</v>
      </c>
      <c r="H496" s="49" t="s">
        <v>270</v>
      </c>
      <c r="I496" s="28" t="s">
        <v>130</v>
      </c>
      <c r="J496" s="28" t="s">
        <v>200</v>
      </c>
      <c r="K496" s="28" t="s">
        <v>403</v>
      </c>
      <c r="L496" s="28" t="s">
        <v>361</v>
      </c>
    </row>
    <row r="497" spans="1:12">
      <c r="A497" s="28" t="s">
        <v>1975</v>
      </c>
      <c r="B497" s="28" t="s">
        <v>1976</v>
      </c>
      <c r="C497" s="28" t="s">
        <v>550</v>
      </c>
      <c r="D497" s="47" t="s">
        <v>551</v>
      </c>
      <c r="E497" s="47" t="s">
        <v>125</v>
      </c>
      <c r="F497" s="28" t="s">
        <v>115</v>
      </c>
      <c r="G497" s="49" t="s">
        <v>1977</v>
      </c>
      <c r="H497" s="49" t="s">
        <v>1978</v>
      </c>
      <c r="I497" s="28" t="s">
        <v>1979</v>
      </c>
      <c r="J497" s="28" t="s">
        <v>644</v>
      </c>
      <c r="K497" s="28" t="s">
        <v>1980</v>
      </c>
      <c r="L497" s="28" t="s">
        <v>1544</v>
      </c>
    </row>
    <row r="498" spans="1:12">
      <c r="A498" s="28" t="s">
        <v>1981</v>
      </c>
      <c r="B498" s="28" t="s">
        <v>1982</v>
      </c>
      <c r="C498" s="28" t="s">
        <v>1983</v>
      </c>
      <c r="D498" s="47" t="s">
        <v>188</v>
      </c>
      <c r="E498" s="47" t="s">
        <v>125</v>
      </c>
      <c r="F498" s="28" t="s">
        <v>115</v>
      </c>
      <c r="G498" s="49" t="s">
        <v>1984</v>
      </c>
      <c r="H498" s="49" t="s">
        <v>222</v>
      </c>
      <c r="I498" s="28" t="s">
        <v>744</v>
      </c>
      <c r="J498" s="28" t="s">
        <v>146</v>
      </c>
      <c r="K498" s="28" t="s">
        <v>1985</v>
      </c>
      <c r="L498" s="28" t="s">
        <v>1544</v>
      </c>
    </row>
    <row r="499" spans="1:12">
      <c r="A499" s="28" t="s">
        <v>1986</v>
      </c>
      <c r="B499" s="28" t="s">
        <v>1987</v>
      </c>
      <c r="C499" s="28" t="s">
        <v>1988</v>
      </c>
      <c r="D499" s="47" t="s">
        <v>365</v>
      </c>
      <c r="E499" s="47" t="s">
        <v>317</v>
      </c>
      <c r="F499" s="28" t="s">
        <v>115</v>
      </c>
      <c r="G499" s="49" t="s">
        <v>1989</v>
      </c>
      <c r="H499" s="49" t="s">
        <v>393</v>
      </c>
      <c r="I499" s="28" t="s">
        <v>810</v>
      </c>
      <c r="J499" s="28" t="s">
        <v>1367</v>
      </c>
      <c r="K499" s="28" t="s">
        <v>1235</v>
      </c>
      <c r="L499" s="28" t="s">
        <v>1544</v>
      </c>
    </row>
    <row r="500" spans="1:12">
      <c r="A500" s="28" t="s">
        <v>1990</v>
      </c>
      <c r="B500" s="28" t="s">
        <v>1991</v>
      </c>
      <c r="C500" s="28" t="s">
        <v>816</v>
      </c>
      <c r="D500" s="47" t="s">
        <v>409</v>
      </c>
      <c r="E500" s="47" t="s">
        <v>257</v>
      </c>
      <c r="F500" s="28" t="s">
        <v>115</v>
      </c>
      <c r="G500" s="49" t="s">
        <v>1992</v>
      </c>
      <c r="H500" s="49" t="s">
        <v>820</v>
      </c>
      <c r="I500" s="28" t="s">
        <v>1993</v>
      </c>
      <c r="J500" s="28" t="s">
        <v>1381</v>
      </c>
      <c r="K500" s="28" t="s">
        <v>1748</v>
      </c>
      <c r="L500" s="28" t="s">
        <v>1544</v>
      </c>
    </row>
    <row r="501" spans="1:12">
      <c r="A501" s="28" t="s">
        <v>1994</v>
      </c>
      <c r="B501" s="28" t="s">
        <v>1995</v>
      </c>
      <c r="C501" s="28" t="s">
        <v>1551</v>
      </c>
      <c r="D501" s="47" t="s">
        <v>794</v>
      </c>
      <c r="E501" s="47" t="s">
        <v>257</v>
      </c>
      <c r="F501" s="28" t="s">
        <v>115</v>
      </c>
      <c r="G501" s="49" t="s">
        <v>1603</v>
      </c>
      <c r="H501" s="49" t="s">
        <v>1604</v>
      </c>
      <c r="I501" s="28" t="s">
        <v>1605</v>
      </c>
      <c r="J501" s="28" t="s">
        <v>1240</v>
      </c>
      <c r="K501" s="28" t="s">
        <v>1606</v>
      </c>
      <c r="L501" s="28" t="s">
        <v>115</v>
      </c>
    </row>
    <row r="502" spans="1:12">
      <c r="A502" s="28" t="s">
        <v>1996</v>
      </c>
      <c r="B502" s="28" t="s">
        <v>1997</v>
      </c>
      <c r="C502" s="28" t="s">
        <v>1998</v>
      </c>
      <c r="D502" s="47" t="s">
        <v>650</v>
      </c>
      <c r="E502" s="47" t="s">
        <v>125</v>
      </c>
      <c r="F502" s="28" t="s">
        <v>115</v>
      </c>
      <c r="G502" s="49" t="s">
        <v>1999</v>
      </c>
      <c r="H502" s="49" t="s">
        <v>222</v>
      </c>
      <c r="I502" s="28" t="s">
        <v>2000</v>
      </c>
      <c r="J502" s="28" t="s">
        <v>1447</v>
      </c>
      <c r="K502" s="28" t="s">
        <v>565</v>
      </c>
      <c r="L502" s="28" t="s">
        <v>1544</v>
      </c>
    </row>
    <row r="503" spans="1:12">
      <c r="A503" s="28" t="s">
        <v>2001</v>
      </c>
      <c r="B503" s="28" t="s">
        <v>2002</v>
      </c>
      <c r="C503" s="28" t="s">
        <v>2003</v>
      </c>
      <c r="D503" s="47" t="s">
        <v>113</v>
      </c>
      <c r="E503" s="47" t="s">
        <v>125</v>
      </c>
      <c r="F503" s="28" t="s">
        <v>115</v>
      </c>
      <c r="G503" s="49" t="s">
        <v>2004</v>
      </c>
      <c r="H503" s="49" t="s">
        <v>732</v>
      </c>
      <c r="I503" s="28" t="s">
        <v>810</v>
      </c>
      <c r="J503" s="28" t="s">
        <v>129</v>
      </c>
      <c r="K503" s="28" t="s">
        <v>1221</v>
      </c>
      <c r="L503" s="28" t="s">
        <v>1544</v>
      </c>
    </row>
    <row r="504" spans="1:12">
      <c r="A504" s="28" t="s">
        <v>2005</v>
      </c>
      <c r="B504" s="28" t="s">
        <v>2006</v>
      </c>
      <c r="C504" s="28" t="s">
        <v>2007</v>
      </c>
      <c r="D504" s="47" t="s">
        <v>188</v>
      </c>
      <c r="E504" s="47" t="s">
        <v>125</v>
      </c>
      <c r="F504" s="28" t="s">
        <v>115</v>
      </c>
      <c r="G504" s="49" t="s">
        <v>1999</v>
      </c>
      <c r="H504" s="49" t="s">
        <v>222</v>
      </c>
      <c r="I504" s="28" t="s">
        <v>2000</v>
      </c>
      <c r="J504" s="28" t="s">
        <v>1447</v>
      </c>
      <c r="K504" s="28" t="s">
        <v>565</v>
      </c>
      <c r="L504" s="28" t="s">
        <v>115</v>
      </c>
    </row>
    <row r="505" spans="1:12">
      <c r="A505" s="28" t="s">
        <v>2008</v>
      </c>
      <c r="B505" s="28" t="s">
        <v>2006</v>
      </c>
      <c r="C505" s="28" t="s">
        <v>2009</v>
      </c>
      <c r="D505" s="47" t="s">
        <v>317</v>
      </c>
      <c r="E505" s="47" t="s">
        <v>337</v>
      </c>
      <c r="F505" s="28" t="s">
        <v>115</v>
      </c>
      <c r="G505" s="49" t="s">
        <v>2010</v>
      </c>
      <c r="H505" s="49" t="s">
        <v>138</v>
      </c>
      <c r="I505" s="28" t="s">
        <v>2011</v>
      </c>
      <c r="J505" s="28" t="s">
        <v>1240</v>
      </c>
      <c r="K505" s="28" t="s">
        <v>1036</v>
      </c>
      <c r="L505" s="28" t="s">
        <v>1544</v>
      </c>
    </row>
    <row r="506" spans="1:12">
      <c r="A506" s="28" t="s">
        <v>2012</v>
      </c>
      <c r="B506" s="28" t="s">
        <v>1982</v>
      </c>
      <c r="C506" s="28" t="s">
        <v>2013</v>
      </c>
      <c r="D506" s="47" t="s">
        <v>317</v>
      </c>
      <c r="E506" s="47" t="s">
        <v>188</v>
      </c>
      <c r="F506" s="28" t="s">
        <v>115</v>
      </c>
      <c r="G506" s="49" t="s">
        <v>766</v>
      </c>
      <c r="H506" s="49" t="s">
        <v>117</v>
      </c>
      <c r="I506" s="28" t="s">
        <v>744</v>
      </c>
      <c r="J506" s="28" t="s">
        <v>1244</v>
      </c>
      <c r="K506" s="28" t="s">
        <v>725</v>
      </c>
      <c r="L506" s="28" t="s">
        <v>115</v>
      </c>
    </row>
    <row r="507" spans="1:12">
      <c r="A507" s="28" t="s">
        <v>2014</v>
      </c>
      <c r="B507" s="28" t="s">
        <v>2015</v>
      </c>
      <c r="C507" s="28" t="s">
        <v>2016</v>
      </c>
      <c r="D507" s="47" t="s">
        <v>146</v>
      </c>
      <c r="E507" s="47" t="s">
        <v>551</v>
      </c>
      <c r="F507" s="28" t="s">
        <v>115</v>
      </c>
      <c r="G507" s="49" t="s">
        <v>2017</v>
      </c>
      <c r="H507" s="49" t="s">
        <v>732</v>
      </c>
      <c r="I507" s="28" t="s">
        <v>810</v>
      </c>
      <c r="J507" s="28" t="s">
        <v>365</v>
      </c>
      <c r="K507" s="28" t="s">
        <v>1062</v>
      </c>
      <c r="L507" s="28" t="s">
        <v>115</v>
      </c>
    </row>
    <row r="508" spans="1:12">
      <c r="A508" s="28" t="s">
        <v>2018</v>
      </c>
      <c r="B508" s="28" t="s">
        <v>2019</v>
      </c>
      <c r="C508" s="28" t="s">
        <v>2020</v>
      </c>
      <c r="D508" s="47" t="s">
        <v>551</v>
      </c>
      <c r="E508" s="47" t="s">
        <v>115</v>
      </c>
      <c r="F508" s="28" t="s">
        <v>115</v>
      </c>
      <c r="G508" s="49" t="s">
        <v>2021</v>
      </c>
      <c r="H508" s="49" t="s">
        <v>538</v>
      </c>
      <c r="I508" s="28" t="s">
        <v>2000</v>
      </c>
      <c r="J508" s="28" t="s">
        <v>644</v>
      </c>
      <c r="K508" s="28" t="s">
        <v>156</v>
      </c>
      <c r="L508" s="28" t="s">
        <v>115</v>
      </c>
    </row>
    <row r="509" spans="1:12">
      <c r="A509" s="28" t="s">
        <v>2022</v>
      </c>
      <c r="B509" s="28" t="s">
        <v>2023</v>
      </c>
      <c r="C509" s="28" t="s">
        <v>2024</v>
      </c>
      <c r="D509" s="47" t="s">
        <v>551</v>
      </c>
      <c r="E509" s="47" t="s">
        <v>551</v>
      </c>
      <c r="F509" s="28" t="s">
        <v>115</v>
      </c>
      <c r="G509" s="49" t="s">
        <v>2025</v>
      </c>
      <c r="H509" s="49" t="s">
        <v>1083</v>
      </c>
      <c r="I509" s="28" t="s">
        <v>1592</v>
      </c>
      <c r="J509" s="28" t="s">
        <v>1013</v>
      </c>
      <c r="K509" s="28" t="s">
        <v>125</v>
      </c>
      <c r="L509" s="28" t="s">
        <v>115</v>
      </c>
    </row>
    <row r="510" spans="1:12">
      <c r="A510" s="28" t="s">
        <v>2026</v>
      </c>
      <c r="B510" s="28" t="s">
        <v>2027</v>
      </c>
      <c r="C510" s="28" t="s">
        <v>1938</v>
      </c>
      <c r="D510" s="47" t="s">
        <v>113</v>
      </c>
      <c r="E510" s="47" t="s">
        <v>136</v>
      </c>
      <c r="F510" s="28" t="s">
        <v>115</v>
      </c>
      <c r="G510" s="49" t="s">
        <v>2028</v>
      </c>
      <c r="H510" s="49" t="s">
        <v>1327</v>
      </c>
      <c r="I510" s="28" t="s">
        <v>136</v>
      </c>
      <c r="J510" s="28" t="s">
        <v>130</v>
      </c>
      <c r="K510" s="28" t="s">
        <v>1236</v>
      </c>
      <c r="L510" s="28" t="s">
        <v>115</v>
      </c>
    </row>
    <row r="511" spans="1:12">
      <c r="A511" s="28" t="s">
        <v>2029</v>
      </c>
      <c r="B511" s="28" t="s">
        <v>2030</v>
      </c>
      <c r="C511" s="28" t="s">
        <v>242</v>
      </c>
      <c r="D511" s="47" t="s">
        <v>113</v>
      </c>
      <c r="E511" s="47" t="s">
        <v>276</v>
      </c>
      <c r="F511" s="28" t="s">
        <v>115</v>
      </c>
      <c r="G511" s="49" t="s">
        <v>2031</v>
      </c>
      <c r="H511" s="49" t="s">
        <v>881</v>
      </c>
      <c r="I511" s="28" t="s">
        <v>152</v>
      </c>
      <c r="J511" s="28" t="s">
        <v>851</v>
      </c>
      <c r="K511" s="28" t="s">
        <v>147</v>
      </c>
      <c r="L511" s="28" t="s">
        <v>115</v>
      </c>
    </row>
    <row r="512" spans="1:12">
      <c r="A512" s="28" t="s">
        <v>2032</v>
      </c>
      <c r="B512" s="28" t="s">
        <v>2033</v>
      </c>
      <c r="C512" s="28" t="s">
        <v>2034</v>
      </c>
      <c r="D512" s="47" t="s">
        <v>113</v>
      </c>
      <c r="E512" s="47" t="s">
        <v>365</v>
      </c>
      <c r="F512" s="28" t="s">
        <v>115</v>
      </c>
      <c r="G512" s="49" t="s">
        <v>2035</v>
      </c>
      <c r="H512" s="49" t="s">
        <v>881</v>
      </c>
      <c r="I512" s="28" t="s">
        <v>744</v>
      </c>
      <c r="J512" s="28" t="s">
        <v>1274</v>
      </c>
      <c r="K512" s="28" t="s">
        <v>850</v>
      </c>
      <c r="L512" s="28" t="s">
        <v>115</v>
      </c>
    </row>
    <row r="513" spans="1:12">
      <c r="A513" s="28" t="s">
        <v>2036</v>
      </c>
      <c r="B513" s="28" t="s">
        <v>2037</v>
      </c>
      <c r="C513" s="28" t="s">
        <v>2038</v>
      </c>
      <c r="D513" s="47" t="s">
        <v>113</v>
      </c>
      <c r="E513" s="47" t="s">
        <v>136</v>
      </c>
      <c r="F513" s="28" t="s">
        <v>115</v>
      </c>
      <c r="G513" s="49" t="s">
        <v>2039</v>
      </c>
      <c r="H513" s="49" t="s">
        <v>2039</v>
      </c>
      <c r="I513" s="28" t="s">
        <v>1748</v>
      </c>
      <c r="J513" s="28" t="s">
        <v>782</v>
      </c>
      <c r="K513" s="28" t="s">
        <v>1236</v>
      </c>
      <c r="L513" s="28" t="s">
        <v>115</v>
      </c>
    </row>
    <row r="514" spans="1:12">
      <c r="A514" s="28" t="s">
        <v>2040</v>
      </c>
      <c r="B514" s="28" t="s">
        <v>2041</v>
      </c>
      <c r="C514" s="28" t="s">
        <v>2038</v>
      </c>
      <c r="D514" s="47" t="s">
        <v>113</v>
      </c>
      <c r="E514" s="47" t="s">
        <v>136</v>
      </c>
      <c r="F514" s="28" t="s">
        <v>115</v>
      </c>
      <c r="G514" s="49" t="s">
        <v>2039</v>
      </c>
      <c r="H514" s="49" t="s">
        <v>2039</v>
      </c>
      <c r="I514" s="28" t="s">
        <v>1748</v>
      </c>
      <c r="J514" s="28" t="s">
        <v>782</v>
      </c>
      <c r="K514" s="28" t="s">
        <v>1236</v>
      </c>
      <c r="L514" s="28" t="s">
        <v>115</v>
      </c>
    </row>
    <row r="515" spans="1:12">
      <c r="A515" s="28" t="s">
        <v>2042</v>
      </c>
      <c r="B515" s="28" t="s">
        <v>2043</v>
      </c>
      <c r="C515" s="28" t="s">
        <v>2044</v>
      </c>
      <c r="D515" s="47" t="s">
        <v>113</v>
      </c>
      <c r="E515" s="47" t="s">
        <v>365</v>
      </c>
      <c r="F515" s="28" t="s">
        <v>115</v>
      </c>
      <c r="G515" s="49" t="s">
        <v>2045</v>
      </c>
      <c r="H515" s="49" t="s">
        <v>605</v>
      </c>
      <c r="I515" s="28" t="s">
        <v>1722</v>
      </c>
      <c r="J515" s="28" t="s">
        <v>1652</v>
      </c>
      <c r="K515" s="28" t="s">
        <v>896</v>
      </c>
      <c r="L515" s="28" t="s">
        <v>115</v>
      </c>
    </row>
    <row r="516" spans="1:12">
      <c r="A516" s="28" t="s">
        <v>2046</v>
      </c>
      <c r="B516" s="28" t="s">
        <v>2047</v>
      </c>
      <c r="C516" s="28" t="s">
        <v>2038</v>
      </c>
      <c r="D516" s="47" t="s">
        <v>113</v>
      </c>
      <c r="E516" s="47" t="s">
        <v>365</v>
      </c>
      <c r="F516" s="28" t="s">
        <v>115</v>
      </c>
      <c r="G516" s="49" t="s">
        <v>2039</v>
      </c>
      <c r="H516" s="49" t="s">
        <v>2039</v>
      </c>
      <c r="I516" s="28" t="s">
        <v>1748</v>
      </c>
      <c r="J516" s="28" t="s">
        <v>782</v>
      </c>
      <c r="K516" s="28" t="s">
        <v>1236</v>
      </c>
      <c r="L516" s="28" t="s">
        <v>115</v>
      </c>
    </row>
    <row r="517" spans="1:12">
      <c r="A517" s="28" t="s">
        <v>2048</v>
      </c>
      <c r="B517" s="28" t="s">
        <v>2049</v>
      </c>
      <c r="C517" s="28" t="s">
        <v>2050</v>
      </c>
      <c r="D517" s="47" t="s">
        <v>113</v>
      </c>
      <c r="E517" s="47" t="s">
        <v>136</v>
      </c>
      <c r="F517" s="28" t="s">
        <v>115</v>
      </c>
      <c r="G517" s="49" t="s">
        <v>1721</v>
      </c>
      <c r="H517" s="49" t="s">
        <v>2051</v>
      </c>
      <c r="I517" s="28" t="s">
        <v>146</v>
      </c>
      <c r="J517" s="28" t="s">
        <v>644</v>
      </c>
      <c r="K517" s="28" t="s">
        <v>130</v>
      </c>
      <c r="L517" s="28" t="s">
        <v>115</v>
      </c>
    </row>
    <row r="518" spans="1:12">
      <c r="A518" s="28" t="s">
        <v>2052</v>
      </c>
      <c r="B518" s="28" t="s">
        <v>2053</v>
      </c>
      <c r="C518" s="28" t="s">
        <v>2054</v>
      </c>
      <c r="D518" s="47" t="s">
        <v>113</v>
      </c>
      <c r="E518" s="47" t="s">
        <v>136</v>
      </c>
      <c r="F518" s="28" t="s">
        <v>115</v>
      </c>
      <c r="G518" s="49" t="s">
        <v>1721</v>
      </c>
      <c r="H518" s="49" t="s">
        <v>2051</v>
      </c>
      <c r="I518" s="28" t="s">
        <v>146</v>
      </c>
      <c r="J518" s="28" t="s">
        <v>644</v>
      </c>
      <c r="K518" s="28" t="s">
        <v>130</v>
      </c>
      <c r="L518" s="28" t="s">
        <v>115</v>
      </c>
    </row>
    <row r="519" spans="1:12">
      <c r="A519" s="28" t="s">
        <v>2055</v>
      </c>
      <c r="B519" s="28" t="s">
        <v>2056</v>
      </c>
      <c r="C519" s="28" t="s">
        <v>2057</v>
      </c>
      <c r="D519" s="47" t="s">
        <v>113</v>
      </c>
      <c r="E519" s="47" t="s">
        <v>136</v>
      </c>
      <c r="F519" s="28" t="s">
        <v>115</v>
      </c>
      <c r="G519" s="49" t="s">
        <v>1721</v>
      </c>
      <c r="H519" s="49" t="s">
        <v>2058</v>
      </c>
      <c r="I519" s="28" t="s">
        <v>146</v>
      </c>
      <c r="J519" s="28" t="s">
        <v>644</v>
      </c>
      <c r="K519" s="28" t="s">
        <v>130</v>
      </c>
      <c r="L519" s="28" t="s">
        <v>115</v>
      </c>
    </row>
    <row r="520" spans="1:12">
      <c r="A520" s="28" t="s">
        <v>2059</v>
      </c>
      <c r="B520" s="28" t="s">
        <v>2060</v>
      </c>
      <c r="C520" s="28" t="s">
        <v>2057</v>
      </c>
      <c r="D520" s="47" t="s">
        <v>113</v>
      </c>
      <c r="E520" s="47" t="s">
        <v>227</v>
      </c>
      <c r="F520" s="28" t="s">
        <v>115</v>
      </c>
      <c r="G520" s="49" t="s">
        <v>1721</v>
      </c>
      <c r="H520" s="49" t="s">
        <v>2058</v>
      </c>
      <c r="I520" s="28" t="s">
        <v>146</v>
      </c>
      <c r="J520" s="28" t="s">
        <v>644</v>
      </c>
      <c r="K520" s="28" t="s">
        <v>130</v>
      </c>
      <c r="L520" s="28" t="s">
        <v>115</v>
      </c>
    </row>
    <row r="521" spans="1:12">
      <c r="A521" s="28" t="s">
        <v>2061</v>
      </c>
      <c r="B521" s="28" t="s">
        <v>2062</v>
      </c>
      <c r="C521" s="28" t="s">
        <v>2063</v>
      </c>
      <c r="D521" s="47" t="s">
        <v>113</v>
      </c>
      <c r="E521" s="47" t="s">
        <v>115</v>
      </c>
      <c r="F521" s="28" t="s">
        <v>115</v>
      </c>
      <c r="G521" s="49" t="s">
        <v>2064</v>
      </c>
      <c r="H521" s="49" t="s">
        <v>2065</v>
      </c>
      <c r="I521" s="28" t="s">
        <v>146</v>
      </c>
      <c r="J521" s="28" t="s">
        <v>223</v>
      </c>
      <c r="K521" s="28" t="s">
        <v>130</v>
      </c>
      <c r="L521" s="28" t="s">
        <v>115</v>
      </c>
    </row>
    <row r="522" spans="1:12">
      <c r="A522" s="28" t="s">
        <v>2066</v>
      </c>
      <c r="B522" s="28" t="s">
        <v>2067</v>
      </c>
      <c r="C522" s="28" t="s">
        <v>2068</v>
      </c>
      <c r="D522" s="47" t="s">
        <v>113</v>
      </c>
      <c r="E522" s="47" t="s">
        <v>136</v>
      </c>
      <c r="F522" s="28" t="s">
        <v>115</v>
      </c>
      <c r="G522" s="49" t="s">
        <v>2069</v>
      </c>
      <c r="H522" s="49" t="s">
        <v>2070</v>
      </c>
      <c r="I522" s="28" t="s">
        <v>215</v>
      </c>
      <c r="J522" s="28" t="s">
        <v>1652</v>
      </c>
      <c r="K522" s="28" t="s">
        <v>2071</v>
      </c>
      <c r="L522" s="28" t="s">
        <v>115</v>
      </c>
    </row>
    <row r="523" spans="1:12">
      <c r="A523" s="28" t="s">
        <v>2072</v>
      </c>
      <c r="B523" s="28" t="s">
        <v>2073</v>
      </c>
      <c r="C523" s="28" t="s">
        <v>2074</v>
      </c>
      <c r="D523" s="47" t="s">
        <v>113</v>
      </c>
      <c r="E523" s="47" t="s">
        <v>136</v>
      </c>
      <c r="F523" s="28" t="s">
        <v>115</v>
      </c>
      <c r="G523" s="49" t="s">
        <v>2069</v>
      </c>
      <c r="H523" s="49" t="s">
        <v>2070</v>
      </c>
      <c r="I523" s="28" t="s">
        <v>215</v>
      </c>
      <c r="J523" s="28" t="s">
        <v>1652</v>
      </c>
      <c r="K523" s="28" t="s">
        <v>2071</v>
      </c>
      <c r="L523" s="28" t="s">
        <v>115</v>
      </c>
    </row>
    <row r="524" spans="1:12">
      <c r="A524" s="28" t="s">
        <v>2075</v>
      </c>
      <c r="B524" s="28" t="s">
        <v>2076</v>
      </c>
      <c r="C524" s="28" t="s">
        <v>2077</v>
      </c>
      <c r="D524" s="47" t="s">
        <v>113</v>
      </c>
      <c r="E524" s="47" t="s">
        <v>365</v>
      </c>
      <c r="F524" s="28" t="s">
        <v>115</v>
      </c>
      <c r="G524" s="49" t="s">
        <v>2069</v>
      </c>
      <c r="H524" s="49" t="s">
        <v>2070</v>
      </c>
      <c r="I524" s="28" t="s">
        <v>215</v>
      </c>
      <c r="J524" s="28" t="s">
        <v>1652</v>
      </c>
      <c r="K524" s="28" t="s">
        <v>2071</v>
      </c>
      <c r="L524" s="28" t="s">
        <v>115</v>
      </c>
    </row>
    <row r="525" spans="1:12">
      <c r="A525" s="28" t="s">
        <v>2078</v>
      </c>
      <c r="B525" s="28" t="s">
        <v>2079</v>
      </c>
      <c r="C525" s="28" t="s">
        <v>2080</v>
      </c>
      <c r="D525" s="47" t="s">
        <v>113</v>
      </c>
      <c r="E525" s="47" t="s">
        <v>136</v>
      </c>
      <c r="F525" s="28" t="s">
        <v>115</v>
      </c>
      <c r="G525" s="49" t="s">
        <v>2081</v>
      </c>
      <c r="H525" s="49" t="s">
        <v>165</v>
      </c>
      <c r="I525" s="28" t="s">
        <v>146</v>
      </c>
      <c r="J525" s="28" t="s">
        <v>188</v>
      </c>
      <c r="K525" s="28" t="s">
        <v>130</v>
      </c>
      <c r="L525" s="28" t="s">
        <v>115</v>
      </c>
    </row>
    <row r="526" spans="1:12">
      <c r="A526" s="28" t="s">
        <v>2082</v>
      </c>
      <c r="B526" s="28" t="s">
        <v>2083</v>
      </c>
      <c r="C526" s="28" t="s">
        <v>2084</v>
      </c>
      <c r="D526" s="47" t="s">
        <v>113</v>
      </c>
      <c r="E526" s="47" t="s">
        <v>115</v>
      </c>
      <c r="F526" s="28" t="s">
        <v>115</v>
      </c>
      <c r="G526" s="49" t="s">
        <v>115</v>
      </c>
      <c r="H526" s="49" t="s">
        <v>115</v>
      </c>
      <c r="I526" s="28" t="s">
        <v>115</v>
      </c>
      <c r="J526" s="28" t="s">
        <v>115</v>
      </c>
      <c r="K526" s="28" t="s">
        <v>115</v>
      </c>
      <c r="L526" s="28" t="s">
        <v>115</v>
      </c>
    </row>
    <row r="527" spans="1:12">
      <c r="A527" s="28" t="s">
        <v>2085</v>
      </c>
      <c r="B527" s="28" t="s">
        <v>2086</v>
      </c>
      <c r="C527" s="28" t="s">
        <v>2087</v>
      </c>
      <c r="D527" s="47" t="s">
        <v>113</v>
      </c>
      <c r="E527" s="47" t="s">
        <v>365</v>
      </c>
      <c r="F527" s="28" t="s">
        <v>115</v>
      </c>
      <c r="G527" s="49" t="s">
        <v>2088</v>
      </c>
      <c r="H527" s="49" t="s">
        <v>949</v>
      </c>
      <c r="I527" s="28" t="s">
        <v>146</v>
      </c>
      <c r="J527" s="28" t="s">
        <v>223</v>
      </c>
      <c r="K527" s="28" t="s">
        <v>346</v>
      </c>
      <c r="L527" s="28" t="s">
        <v>115</v>
      </c>
    </row>
    <row r="528" spans="1:12">
      <c r="A528" s="28" t="s">
        <v>2089</v>
      </c>
      <c r="B528" s="28" t="s">
        <v>2090</v>
      </c>
      <c r="C528" s="28" t="s">
        <v>2091</v>
      </c>
      <c r="D528" s="47" t="s">
        <v>113</v>
      </c>
      <c r="E528" s="47" t="s">
        <v>136</v>
      </c>
      <c r="F528" s="28" t="s">
        <v>115</v>
      </c>
      <c r="G528" s="49" t="s">
        <v>2092</v>
      </c>
      <c r="H528" s="49" t="s">
        <v>2093</v>
      </c>
      <c r="I528" s="28" t="s">
        <v>2000</v>
      </c>
      <c r="J528" s="28" t="s">
        <v>985</v>
      </c>
      <c r="K528" s="28" t="s">
        <v>551</v>
      </c>
      <c r="L528" s="28" t="s">
        <v>115</v>
      </c>
    </row>
    <row r="529" spans="1:12">
      <c r="A529" s="28" t="s">
        <v>2094</v>
      </c>
      <c r="B529" s="28" t="s">
        <v>2095</v>
      </c>
      <c r="C529" s="28" t="s">
        <v>2096</v>
      </c>
      <c r="D529" s="47" t="s">
        <v>113</v>
      </c>
      <c r="E529" s="47" t="s">
        <v>136</v>
      </c>
      <c r="F529" s="28" t="s">
        <v>115</v>
      </c>
      <c r="G529" s="49" t="s">
        <v>2092</v>
      </c>
      <c r="H529" s="49" t="s">
        <v>2097</v>
      </c>
      <c r="I529" s="28" t="s">
        <v>2000</v>
      </c>
      <c r="J529" s="28" t="s">
        <v>985</v>
      </c>
      <c r="K529" s="28" t="s">
        <v>551</v>
      </c>
      <c r="L529" s="28" t="s">
        <v>115</v>
      </c>
    </row>
    <row r="530" spans="1:12">
      <c r="A530" s="28" t="s">
        <v>2098</v>
      </c>
      <c r="B530" s="28" t="s">
        <v>2099</v>
      </c>
      <c r="C530" s="28" t="s">
        <v>2100</v>
      </c>
      <c r="D530" s="47" t="s">
        <v>188</v>
      </c>
      <c r="E530" s="47" t="s">
        <v>551</v>
      </c>
      <c r="F530" s="28" t="s">
        <v>115</v>
      </c>
      <c r="G530" s="49" t="s">
        <v>854</v>
      </c>
      <c r="H530" s="49" t="s">
        <v>782</v>
      </c>
      <c r="I530" s="28" t="s">
        <v>115</v>
      </c>
      <c r="J530" s="28" t="s">
        <v>115</v>
      </c>
      <c r="K530" s="28" t="s">
        <v>115</v>
      </c>
      <c r="L530" s="28" t="s">
        <v>115</v>
      </c>
    </row>
    <row r="531" spans="1:12">
      <c r="A531" s="28" t="s">
        <v>2101</v>
      </c>
      <c r="B531" s="28" t="s">
        <v>2102</v>
      </c>
      <c r="C531" s="28" t="s">
        <v>2103</v>
      </c>
      <c r="D531" s="47" t="s">
        <v>551</v>
      </c>
      <c r="E531" s="47" t="s">
        <v>365</v>
      </c>
      <c r="F531" s="28" t="s">
        <v>115</v>
      </c>
      <c r="G531" s="49" t="s">
        <v>270</v>
      </c>
      <c r="H531" s="49" t="s">
        <v>157</v>
      </c>
      <c r="I531" s="28" t="s">
        <v>271</v>
      </c>
      <c r="J531" s="28" t="s">
        <v>272</v>
      </c>
      <c r="K531" s="28" t="s">
        <v>208</v>
      </c>
      <c r="L531" s="28" t="s">
        <v>115</v>
      </c>
    </row>
    <row r="532" spans="1:12">
      <c r="A532" s="28" t="s">
        <v>2104</v>
      </c>
      <c r="B532" s="28" t="s">
        <v>2105</v>
      </c>
      <c r="C532" s="28" t="s">
        <v>2103</v>
      </c>
      <c r="D532" s="47" t="s">
        <v>551</v>
      </c>
      <c r="E532" s="47" t="s">
        <v>365</v>
      </c>
      <c r="F532" s="28" t="s">
        <v>115</v>
      </c>
      <c r="G532" s="49" t="s">
        <v>270</v>
      </c>
      <c r="H532" s="49" t="s">
        <v>157</v>
      </c>
      <c r="I532" s="28" t="s">
        <v>271</v>
      </c>
      <c r="J532" s="28" t="s">
        <v>272</v>
      </c>
      <c r="K532" s="28" t="s">
        <v>208</v>
      </c>
      <c r="L532" s="28" t="s">
        <v>115</v>
      </c>
    </row>
    <row r="533" spans="1:12">
      <c r="A533" s="28" t="s">
        <v>2106</v>
      </c>
      <c r="B533" s="28" t="s">
        <v>2107</v>
      </c>
      <c r="C533" s="28" t="s">
        <v>2108</v>
      </c>
      <c r="D533" s="47" t="s">
        <v>551</v>
      </c>
      <c r="E533" s="47" t="s">
        <v>551</v>
      </c>
      <c r="F533" s="28" t="s">
        <v>115</v>
      </c>
      <c r="G533" s="49" t="s">
        <v>270</v>
      </c>
      <c r="H533" s="49" t="s">
        <v>157</v>
      </c>
      <c r="I533" s="28" t="s">
        <v>115</v>
      </c>
      <c r="J533" s="28" t="s">
        <v>115</v>
      </c>
      <c r="K533" s="28" t="s">
        <v>115</v>
      </c>
      <c r="L533" s="28" t="s">
        <v>115</v>
      </c>
    </row>
    <row r="534" spans="1:12">
      <c r="A534" s="28" t="s">
        <v>2109</v>
      </c>
      <c r="B534" s="28" t="s">
        <v>2110</v>
      </c>
      <c r="C534" s="28" t="s">
        <v>2111</v>
      </c>
      <c r="D534" s="47" t="s">
        <v>269</v>
      </c>
      <c r="E534" s="47" t="s">
        <v>551</v>
      </c>
      <c r="F534" s="28" t="s">
        <v>115</v>
      </c>
      <c r="G534" s="49" t="s">
        <v>128</v>
      </c>
      <c r="H534" s="49" t="s">
        <v>147</v>
      </c>
      <c r="I534" s="28" t="s">
        <v>115</v>
      </c>
      <c r="J534" s="28" t="s">
        <v>115</v>
      </c>
      <c r="K534" s="28" t="s">
        <v>115</v>
      </c>
      <c r="L534" s="28" t="s">
        <v>115</v>
      </c>
    </row>
    <row r="535" spans="1:12">
      <c r="A535" s="28" t="s">
        <v>2112</v>
      </c>
      <c r="B535" s="28" t="s">
        <v>2113</v>
      </c>
      <c r="C535" s="28" t="s">
        <v>880</v>
      </c>
      <c r="D535" s="47" t="s">
        <v>269</v>
      </c>
      <c r="E535" s="47" t="s">
        <v>551</v>
      </c>
      <c r="F535" s="28" t="s">
        <v>115</v>
      </c>
      <c r="G535" s="49" t="s">
        <v>128</v>
      </c>
      <c r="H535" s="49" t="s">
        <v>147</v>
      </c>
      <c r="I535" s="28" t="s">
        <v>115</v>
      </c>
      <c r="J535" s="28" t="s">
        <v>115</v>
      </c>
      <c r="K535" s="28" t="s">
        <v>115</v>
      </c>
      <c r="L535" s="28" t="s">
        <v>115</v>
      </c>
    </row>
    <row r="536" spans="1:12">
      <c r="A536" s="28" t="s">
        <v>2114</v>
      </c>
      <c r="B536" s="28" t="s">
        <v>2115</v>
      </c>
      <c r="C536" s="28" t="s">
        <v>2100</v>
      </c>
      <c r="D536" s="47" t="s">
        <v>188</v>
      </c>
      <c r="E536" s="47" t="s">
        <v>152</v>
      </c>
      <c r="F536" s="28" t="s">
        <v>115</v>
      </c>
      <c r="G536" s="49" t="s">
        <v>854</v>
      </c>
      <c r="H536" s="49" t="s">
        <v>782</v>
      </c>
      <c r="I536" s="28" t="s">
        <v>115</v>
      </c>
      <c r="J536" s="28" t="s">
        <v>115</v>
      </c>
      <c r="K536" s="28" t="s">
        <v>115</v>
      </c>
      <c r="L536" s="28" t="s">
        <v>115</v>
      </c>
    </row>
    <row r="537" spans="1:12">
      <c r="A537" s="28" t="s">
        <v>2116</v>
      </c>
      <c r="B537" s="28" t="s">
        <v>2117</v>
      </c>
      <c r="C537" s="28" t="s">
        <v>2100</v>
      </c>
      <c r="D537" s="47" t="s">
        <v>188</v>
      </c>
      <c r="E537" s="47" t="s">
        <v>152</v>
      </c>
      <c r="F537" s="28" t="s">
        <v>115</v>
      </c>
      <c r="G537" s="49" t="s">
        <v>854</v>
      </c>
      <c r="H537" s="49" t="s">
        <v>782</v>
      </c>
      <c r="I537" s="28" t="s">
        <v>115</v>
      </c>
      <c r="J537" s="28" t="s">
        <v>115</v>
      </c>
      <c r="K537" s="28" t="s">
        <v>115</v>
      </c>
      <c r="L537" s="28" t="s">
        <v>115</v>
      </c>
    </row>
    <row r="538" spans="1:12">
      <c r="A538" s="28" t="s">
        <v>2118</v>
      </c>
      <c r="B538" s="28" t="s">
        <v>2119</v>
      </c>
      <c r="C538" s="28" t="s">
        <v>2103</v>
      </c>
      <c r="D538" s="47" t="s">
        <v>551</v>
      </c>
      <c r="E538" s="47" t="s">
        <v>365</v>
      </c>
      <c r="F538" s="28" t="s">
        <v>115</v>
      </c>
      <c r="G538" s="49" t="s">
        <v>270</v>
      </c>
      <c r="H538" s="49" t="s">
        <v>157</v>
      </c>
      <c r="I538" s="28" t="s">
        <v>271</v>
      </c>
      <c r="J538" s="28" t="s">
        <v>272</v>
      </c>
      <c r="K538" s="28" t="s">
        <v>208</v>
      </c>
      <c r="L538" s="28" t="s">
        <v>115</v>
      </c>
    </row>
    <row r="539" spans="1:12">
      <c r="A539" s="28" t="s">
        <v>2120</v>
      </c>
      <c r="B539" s="28" t="s">
        <v>2121</v>
      </c>
      <c r="C539" s="28" t="s">
        <v>2122</v>
      </c>
      <c r="D539" s="47" t="s">
        <v>551</v>
      </c>
      <c r="E539" s="47" t="s">
        <v>551</v>
      </c>
      <c r="F539" s="28" t="s">
        <v>115</v>
      </c>
      <c r="G539" s="49" t="s">
        <v>270</v>
      </c>
      <c r="H539" s="49" t="s">
        <v>157</v>
      </c>
      <c r="I539" s="28" t="s">
        <v>115</v>
      </c>
      <c r="J539" s="28" t="s">
        <v>115</v>
      </c>
      <c r="K539" s="28" t="s">
        <v>115</v>
      </c>
      <c r="L539" s="28" t="s">
        <v>115</v>
      </c>
    </row>
    <row r="540" spans="1:12">
      <c r="A540" s="28" t="s">
        <v>2123</v>
      </c>
      <c r="B540" s="28" t="s">
        <v>2124</v>
      </c>
      <c r="C540" s="28" t="s">
        <v>880</v>
      </c>
      <c r="D540" s="47" t="s">
        <v>269</v>
      </c>
      <c r="E540" s="47" t="s">
        <v>551</v>
      </c>
      <c r="F540" s="28" t="s">
        <v>115</v>
      </c>
      <c r="G540" s="49" t="s">
        <v>128</v>
      </c>
      <c r="H540" s="49" t="s">
        <v>147</v>
      </c>
      <c r="I540" s="28" t="s">
        <v>115</v>
      </c>
      <c r="J540" s="28" t="s">
        <v>115</v>
      </c>
      <c r="K540" s="28" t="s">
        <v>115</v>
      </c>
      <c r="L540" s="28" t="s">
        <v>115</v>
      </c>
    </row>
    <row r="541" spans="1:12">
      <c r="A541" s="28" t="s">
        <v>2125</v>
      </c>
      <c r="B541" s="28" t="s">
        <v>2126</v>
      </c>
      <c r="C541" s="28" t="s">
        <v>2111</v>
      </c>
      <c r="D541" s="47" t="s">
        <v>269</v>
      </c>
      <c r="E541" s="47" t="s">
        <v>551</v>
      </c>
      <c r="F541" s="28" t="s">
        <v>115</v>
      </c>
      <c r="G541" s="49" t="s">
        <v>128</v>
      </c>
      <c r="H541" s="49" t="s">
        <v>147</v>
      </c>
      <c r="I541" s="28" t="s">
        <v>115</v>
      </c>
      <c r="J541" s="28" t="s">
        <v>115</v>
      </c>
      <c r="K541" s="28" t="s">
        <v>115</v>
      </c>
      <c r="L541" s="28" t="s">
        <v>115</v>
      </c>
    </row>
    <row r="542" spans="1:12">
      <c r="A542" s="28" t="s">
        <v>2127</v>
      </c>
      <c r="B542" s="28" t="s">
        <v>2128</v>
      </c>
      <c r="C542" s="28" t="s">
        <v>2111</v>
      </c>
      <c r="D542" s="47" t="s">
        <v>269</v>
      </c>
      <c r="E542" s="47" t="s">
        <v>551</v>
      </c>
      <c r="F542" s="28" t="s">
        <v>115</v>
      </c>
      <c r="G542" s="49" t="s">
        <v>128</v>
      </c>
      <c r="H542" s="49" t="s">
        <v>147</v>
      </c>
      <c r="I542" s="28" t="s">
        <v>115</v>
      </c>
      <c r="J542" s="28" t="s">
        <v>115</v>
      </c>
      <c r="K542" s="28" t="s">
        <v>115</v>
      </c>
      <c r="L542" s="28" t="s">
        <v>115</v>
      </c>
    </row>
    <row r="543" spans="1:12">
      <c r="A543" s="28" t="s">
        <v>2129</v>
      </c>
      <c r="B543" s="28" t="s">
        <v>2130</v>
      </c>
      <c r="C543" s="28" t="s">
        <v>2100</v>
      </c>
      <c r="D543" s="47" t="s">
        <v>188</v>
      </c>
      <c r="E543" s="47" t="s">
        <v>551</v>
      </c>
      <c r="F543" s="28" t="s">
        <v>115</v>
      </c>
      <c r="G543" s="49" t="s">
        <v>854</v>
      </c>
      <c r="H543" s="49" t="s">
        <v>782</v>
      </c>
      <c r="I543" s="28" t="s">
        <v>115</v>
      </c>
      <c r="J543" s="28" t="s">
        <v>115</v>
      </c>
      <c r="K543" s="28" t="s">
        <v>115</v>
      </c>
      <c r="L543" s="28" t="s">
        <v>115</v>
      </c>
    </row>
    <row r="544" spans="1:12">
      <c r="A544" s="28" t="s">
        <v>2131</v>
      </c>
      <c r="B544" s="28" t="s">
        <v>2132</v>
      </c>
      <c r="C544" s="28" t="s">
        <v>2103</v>
      </c>
      <c r="D544" s="47" t="s">
        <v>551</v>
      </c>
      <c r="E544" s="47" t="s">
        <v>365</v>
      </c>
      <c r="F544" s="28" t="s">
        <v>115</v>
      </c>
      <c r="G544" s="49" t="s">
        <v>270</v>
      </c>
      <c r="H544" s="49" t="s">
        <v>157</v>
      </c>
      <c r="I544" s="28" t="s">
        <v>271</v>
      </c>
      <c r="J544" s="28" t="s">
        <v>272</v>
      </c>
      <c r="K544" s="28" t="s">
        <v>208</v>
      </c>
      <c r="L544" s="28" t="s">
        <v>115</v>
      </c>
    </row>
    <row r="545" spans="1:12">
      <c r="A545" s="28" t="s">
        <v>2133</v>
      </c>
      <c r="B545" s="28" t="s">
        <v>2134</v>
      </c>
      <c r="C545" s="28" t="s">
        <v>2100</v>
      </c>
      <c r="D545" s="47" t="s">
        <v>188</v>
      </c>
      <c r="E545" s="47" t="s">
        <v>551</v>
      </c>
      <c r="F545" s="28" t="s">
        <v>115</v>
      </c>
      <c r="G545" s="49" t="s">
        <v>854</v>
      </c>
      <c r="H545" s="49" t="s">
        <v>439</v>
      </c>
      <c r="I545" s="28" t="s">
        <v>115</v>
      </c>
      <c r="J545" s="28" t="s">
        <v>115</v>
      </c>
      <c r="K545" s="28" t="s">
        <v>115</v>
      </c>
      <c r="L545" s="28" t="s">
        <v>115</v>
      </c>
    </row>
    <row r="546" spans="1:12">
      <c r="A546" s="28" t="s">
        <v>2135</v>
      </c>
      <c r="B546" s="28" t="s">
        <v>2136</v>
      </c>
      <c r="C546" s="28" t="s">
        <v>2137</v>
      </c>
      <c r="D546" s="47" t="s">
        <v>188</v>
      </c>
      <c r="E546" s="47" t="s">
        <v>125</v>
      </c>
      <c r="F546" s="28" t="s">
        <v>115</v>
      </c>
      <c r="G546" s="49" t="s">
        <v>2138</v>
      </c>
      <c r="H546" s="49" t="s">
        <v>526</v>
      </c>
      <c r="I546" s="28" t="s">
        <v>2000</v>
      </c>
      <c r="J546" s="28" t="s">
        <v>1610</v>
      </c>
      <c r="K546" s="28" t="s">
        <v>1980</v>
      </c>
      <c r="L546" s="28" t="s">
        <v>1544</v>
      </c>
    </row>
    <row r="547" spans="1:12">
      <c r="A547" s="28" t="s">
        <v>2139</v>
      </c>
      <c r="B547" s="28" t="s">
        <v>2140</v>
      </c>
      <c r="C547" s="28" t="s">
        <v>268</v>
      </c>
      <c r="D547" s="47" t="s">
        <v>551</v>
      </c>
      <c r="E547" s="47" t="s">
        <v>365</v>
      </c>
      <c r="F547" s="28" t="s">
        <v>115</v>
      </c>
      <c r="G547" s="49" t="s">
        <v>270</v>
      </c>
      <c r="H547" s="49" t="s">
        <v>157</v>
      </c>
      <c r="I547" s="28" t="s">
        <v>271</v>
      </c>
      <c r="J547" s="28" t="s">
        <v>272</v>
      </c>
      <c r="K547" s="28" t="s">
        <v>208</v>
      </c>
      <c r="L547" s="28" t="s">
        <v>115</v>
      </c>
    </row>
    <row r="548" spans="1:12">
      <c r="A548" s="28" t="s">
        <v>2141</v>
      </c>
      <c r="B548" s="28" t="s">
        <v>2142</v>
      </c>
      <c r="C548" s="28" t="s">
        <v>2143</v>
      </c>
      <c r="D548" s="47" t="s">
        <v>113</v>
      </c>
      <c r="E548" s="47" t="s">
        <v>544</v>
      </c>
      <c r="F548" s="28" t="s">
        <v>115</v>
      </c>
      <c r="G548" s="49" t="s">
        <v>687</v>
      </c>
      <c r="H548" s="49" t="s">
        <v>359</v>
      </c>
      <c r="I548" s="28" t="s">
        <v>531</v>
      </c>
      <c r="J548" s="28" t="s">
        <v>216</v>
      </c>
      <c r="K548" s="28" t="s">
        <v>688</v>
      </c>
      <c r="L548" s="28" t="s">
        <v>115</v>
      </c>
    </row>
    <row r="549" spans="1:12">
      <c r="A549" s="28" t="s">
        <v>2144</v>
      </c>
      <c r="B549" s="28" t="s">
        <v>2145</v>
      </c>
      <c r="C549" s="28" t="s">
        <v>2146</v>
      </c>
      <c r="D549" s="47" t="s">
        <v>160</v>
      </c>
      <c r="E549" s="47" t="s">
        <v>152</v>
      </c>
      <c r="F549" s="28" t="s">
        <v>115</v>
      </c>
      <c r="G549" s="49" t="s">
        <v>850</v>
      </c>
      <c r="H549" s="49" t="s">
        <v>850</v>
      </c>
      <c r="I549" s="28" t="s">
        <v>115</v>
      </c>
      <c r="J549" s="28" t="s">
        <v>115</v>
      </c>
      <c r="K549" s="28" t="s">
        <v>115</v>
      </c>
      <c r="L549" s="28" t="s">
        <v>115</v>
      </c>
    </row>
    <row r="550" spans="1:12">
      <c r="A550" s="28" t="s">
        <v>2147</v>
      </c>
      <c r="B550" s="28" t="s">
        <v>2148</v>
      </c>
      <c r="C550" s="28" t="s">
        <v>364</v>
      </c>
      <c r="D550" s="47" t="s">
        <v>160</v>
      </c>
      <c r="E550" s="47" t="s">
        <v>365</v>
      </c>
      <c r="F550" s="28" t="s">
        <v>115</v>
      </c>
      <c r="G550" s="49" t="s">
        <v>270</v>
      </c>
      <c r="H550" s="49" t="s">
        <v>157</v>
      </c>
      <c r="I550" s="28" t="s">
        <v>271</v>
      </c>
      <c r="J550" s="28" t="s">
        <v>272</v>
      </c>
      <c r="K550" s="28" t="s">
        <v>208</v>
      </c>
      <c r="L550" s="28" t="s">
        <v>115</v>
      </c>
    </row>
    <row r="551" spans="1:12">
      <c r="A551" s="28" t="s">
        <v>2149</v>
      </c>
      <c r="B551" s="28" t="s">
        <v>2150</v>
      </c>
      <c r="C551" s="28" t="s">
        <v>523</v>
      </c>
      <c r="D551" s="47" t="s">
        <v>125</v>
      </c>
      <c r="E551" s="47" t="s">
        <v>2151</v>
      </c>
      <c r="F551" s="28" t="s">
        <v>113</v>
      </c>
      <c r="G551" s="49" t="s">
        <v>1595</v>
      </c>
      <c r="H551" s="49" t="s">
        <v>1596</v>
      </c>
      <c r="I551" s="28" t="s">
        <v>308</v>
      </c>
      <c r="J551" s="28" t="s">
        <v>498</v>
      </c>
      <c r="K551" s="28" t="s">
        <v>130</v>
      </c>
      <c r="L551" s="28" t="s">
        <v>1544</v>
      </c>
    </row>
    <row r="552" spans="1:12">
      <c r="A552" s="28" t="s">
        <v>2152</v>
      </c>
      <c r="B552" s="28" t="s">
        <v>2153</v>
      </c>
      <c r="C552" s="28" t="s">
        <v>112</v>
      </c>
      <c r="D552" s="47" t="s">
        <v>113</v>
      </c>
      <c r="E552" s="47" t="s">
        <v>114</v>
      </c>
      <c r="F552" s="28" t="s">
        <v>113</v>
      </c>
      <c r="G552" s="49" t="s">
        <v>2154</v>
      </c>
      <c r="H552" s="49" t="s">
        <v>117</v>
      </c>
      <c r="I552" s="28" t="s">
        <v>264</v>
      </c>
      <c r="J552" s="28" t="s">
        <v>166</v>
      </c>
      <c r="K552" s="28" t="s">
        <v>113</v>
      </c>
      <c r="L552" s="28" t="s">
        <v>121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9"/>
  <sheetViews>
    <sheetView workbookViewId="0"/>
  </sheetViews>
  <sheetFormatPr defaultRowHeight="16.5"/>
  <cols>
    <col min="1" max="1" width="8.125" bestFit="1" customWidth="1"/>
    <col min="2" max="2" width="10.25" bestFit="1" customWidth="1"/>
    <col min="3" max="3" width="7.5" bestFit="1" customWidth="1"/>
    <col min="4" max="4" width="23.875" bestFit="1" customWidth="1"/>
    <col min="5" max="5" width="15" bestFit="1" customWidth="1"/>
    <col min="6" max="8" width="10.25" bestFit="1" customWidth="1"/>
    <col min="9" max="10" width="8.125" bestFit="1" customWidth="1"/>
    <col min="11" max="11" width="6" bestFit="1" customWidth="1"/>
    <col min="12" max="12" width="10.25" bestFit="1" customWidth="1"/>
    <col min="13" max="13" width="12.75" bestFit="1" customWidth="1"/>
    <col min="14" max="16" width="10.25" bestFit="1" customWidth="1"/>
    <col min="17" max="17" width="6" bestFit="1" customWidth="1"/>
    <col min="18" max="18" width="8.125" bestFit="1" customWidth="1"/>
    <col min="19" max="20" width="10.25" bestFit="1" customWidth="1"/>
    <col min="21" max="21" width="6" bestFit="1" customWidth="1"/>
    <col min="22" max="22" width="15" bestFit="1" customWidth="1"/>
  </cols>
  <sheetData>
    <row r="1" spans="1:22" s="44" customFormat="1">
      <c r="A1" s="44" t="s">
        <v>2165</v>
      </c>
      <c r="B1" s="44" t="s">
        <v>2166</v>
      </c>
      <c r="C1" s="44" t="s">
        <v>98</v>
      </c>
      <c r="D1" s="44" t="s">
        <v>99</v>
      </c>
      <c r="E1" s="44" t="s">
        <v>2167</v>
      </c>
      <c r="F1" s="44" t="s">
        <v>2168</v>
      </c>
      <c r="G1" s="44" t="s">
        <v>2169</v>
      </c>
      <c r="H1" s="44" t="s">
        <v>2170</v>
      </c>
      <c r="I1" s="44" t="s">
        <v>2171</v>
      </c>
      <c r="J1" s="44" t="s">
        <v>2172</v>
      </c>
      <c r="K1" s="44" t="s">
        <v>2173</v>
      </c>
      <c r="L1" s="44" t="s">
        <v>2174</v>
      </c>
      <c r="M1" s="44" t="s">
        <v>2175</v>
      </c>
      <c r="N1" s="44" t="s">
        <v>2176</v>
      </c>
      <c r="O1" s="44" t="s">
        <v>2177</v>
      </c>
      <c r="P1" s="44" t="s">
        <v>102</v>
      </c>
      <c r="Q1" s="44" t="s">
        <v>2178</v>
      </c>
      <c r="R1" s="44" t="s">
        <v>2179</v>
      </c>
      <c r="S1" s="44" t="s">
        <v>2180</v>
      </c>
      <c r="T1" s="44" t="s">
        <v>2181</v>
      </c>
      <c r="U1" s="44" t="s">
        <v>2182</v>
      </c>
      <c r="V1" s="44" t="s">
        <v>2183</v>
      </c>
    </row>
    <row r="2" spans="1:22">
      <c r="A2">
        <v>1</v>
      </c>
      <c r="B2" s="28" t="s">
        <v>2184</v>
      </c>
      <c r="C2" s="28" t="s">
        <v>321</v>
      </c>
      <c r="D2" t="s">
        <v>322</v>
      </c>
      <c r="E2">
        <v>48</v>
      </c>
      <c r="F2" t="s">
        <v>2185</v>
      </c>
      <c r="G2" s="49">
        <v>4</v>
      </c>
      <c r="H2" s="50">
        <v>4</v>
      </c>
      <c r="I2" s="50">
        <v>3.0376550400000002</v>
      </c>
      <c r="J2" s="50">
        <v>52</v>
      </c>
      <c r="K2" t="s">
        <v>2186</v>
      </c>
      <c r="L2">
        <v>13</v>
      </c>
      <c r="M2">
        <v>0.75941376000000005</v>
      </c>
      <c r="N2">
        <v>12</v>
      </c>
      <c r="O2" t="s">
        <v>2187</v>
      </c>
      <c r="P2">
        <v>56</v>
      </c>
      <c r="R2">
        <v>48</v>
      </c>
      <c r="S2" s="51">
        <v>12</v>
      </c>
      <c r="T2" t="s">
        <v>2188</v>
      </c>
      <c r="U2" s="47">
        <v>4</v>
      </c>
      <c r="V2" s="28" t="s">
        <v>2189</v>
      </c>
    </row>
    <row r="3" spans="1:22">
      <c r="A3">
        <v>2</v>
      </c>
      <c r="B3" s="28" t="s">
        <v>2190</v>
      </c>
      <c r="C3" s="28" t="s">
        <v>1246</v>
      </c>
      <c r="D3" t="s">
        <v>1247</v>
      </c>
      <c r="E3">
        <v>72</v>
      </c>
      <c r="F3" t="s">
        <v>2185</v>
      </c>
      <c r="G3" s="49">
        <v>6</v>
      </c>
      <c r="H3" s="50">
        <v>6</v>
      </c>
      <c r="I3" s="50">
        <v>5.4897563040000001</v>
      </c>
      <c r="J3" s="50">
        <v>95.4</v>
      </c>
      <c r="K3" t="s">
        <v>2186</v>
      </c>
      <c r="L3">
        <v>15.9</v>
      </c>
      <c r="M3">
        <v>0.91495938399999999</v>
      </c>
      <c r="N3">
        <v>12</v>
      </c>
      <c r="O3" t="s">
        <v>2187</v>
      </c>
      <c r="P3">
        <v>48</v>
      </c>
      <c r="R3">
        <v>72</v>
      </c>
      <c r="S3" s="51">
        <v>12</v>
      </c>
      <c r="T3" t="s">
        <v>2191</v>
      </c>
      <c r="U3" s="47">
        <v>6</v>
      </c>
      <c r="V3" s="28" t="s">
        <v>2192</v>
      </c>
    </row>
    <row r="4" spans="1:22">
      <c r="A4">
        <v>3</v>
      </c>
      <c r="B4" s="28" t="s">
        <v>2193</v>
      </c>
      <c r="C4" s="28" t="s">
        <v>323</v>
      </c>
      <c r="D4" t="s">
        <v>324</v>
      </c>
      <c r="E4">
        <v>288</v>
      </c>
      <c r="F4" t="s">
        <v>2185</v>
      </c>
      <c r="G4" s="49">
        <v>12</v>
      </c>
      <c r="H4" s="50">
        <v>12</v>
      </c>
      <c r="I4" s="50">
        <v>6.9866065919999993</v>
      </c>
      <c r="J4" s="50">
        <v>97.199999999999989</v>
      </c>
      <c r="K4" t="s">
        <v>2186</v>
      </c>
      <c r="L4">
        <v>8.1</v>
      </c>
      <c r="M4">
        <v>0.58221721599999998</v>
      </c>
      <c r="N4">
        <v>24</v>
      </c>
      <c r="O4" t="s">
        <v>2187</v>
      </c>
      <c r="P4">
        <v>96</v>
      </c>
      <c r="R4">
        <v>288</v>
      </c>
      <c r="S4" s="51">
        <v>24</v>
      </c>
      <c r="T4" t="s">
        <v>2194</v>
      </c>
      <c r="U4" s="47">
        <v>12</v>
      </c>
      <c r="V4" s="28" t="s">
        <v>2195</v>
      </c>
    </row>
    <row r="5" spans="1:22">
      <c r="A5">
        <v>4</v>
      </c>
      <c r="B5" s="28" t="s">
        <v>2196</v>
      </c>
      <c r="C5" s="28" t="s">
        <v>327</v>
      </c>
      <c r="D5" t="s">
        <v>328</v>
      </c>
      <c r="E5">
        <v>144</v>
      </c>
      <c r="F5" t="s">
        <v>2185</v>
      </c>
      <c r="G5" s="49">
        <v>6</v>
      </c>
      <c r="H5" s="50">
        <v>6</v>
      </c>
      <c r="I5" s="50">
        <v>3.4793651699999995</v>
      </c>
      <c r="J5" s="50">
        <v>62.699999999999996</v>
      </c>
      <c r="K5" t="s">
        <v>2186</v>
      </c>
      <c r="L5">
        <v>10.45</v>
      </c>
      <c r="M5">
        <v>0.57989419499999995</v>
      </c>
      <c r="N5">
        <v>24</v>
      </c>
      <c r="O5" t="s">
        <v>2187</v>
      </c>
      <c r="P5">
        <v>96</v>
      </c>
      <c r="R5">
        <v>144</v>
      </c>
      <c r="S5" s="51">
        <v>24</v>
      </c>
      <c r="T5" t="s">
        <v>2191</v>
      </c>
      <c r="U5" s="47">
        <v>6</v>
      </c>
      <c r="V5" s="28" t="s">
        <v>2197</v>
      </c>
    </row>
    <row r="6" spans="1:22">
      <c r="A6">
        <v>5</v>
      </c>
      <c r="B6" s="28" t="s">
        <v>2198</v>
      </c>
      <c r="C6" s="28" t="s">
        <v>855</v>
      </c>
      <c r="D6" t="s">
        <v>856</v>
      </c>
      <c r="E6">
        <v>72</v>
      </c>
      <c r="F6" t="s">
        <v>2185</v>
      </c>
      <c r="G6" s="49">
        <v>6</v>
      </c>
      <c r="H6" s="50">
        <v>6</v>
      </c>
      <c r="I6" s="50">
        <v>2.9531109299999998</v>
      </c>
      <c r="J6" s="50">
        <v>40.799999999999997</v>
      </c>
      <c r="K6" t="s">
        <v>2186</v>
      </c>
      <c r="L6">
        <v>6.8</v>
      </c>
      <c r="M6">
        <v>0.49218515499999999</v>
      </c>
      <c r="N6">
        <v>12</v>
      </c>
      <c r="O6" t="s">
        <v>2187</v>
      </c>
      <c r="P6">
        <v>108</v>
      </c>
      <c r="R6">
        <v>72</v>
      </c>
      <c r="S6" s="51">
        <v>12</v>
      </c>
      <c r="T6" t="s">
        <v>2191</v>
      </c>
      <c r="U6" s="47">
        <v>6</v>
      </c>
      <c r="V6" s="28" t="s">
        <v>2199</v>
      </c>
    </row>
    <row r="7" spans="1:22">
      <c r="A7">
        <v>6</v>
      </c>
      <c r="B7" s="28" t="s">
        <v>2200</v>
      </c>
      <c r="C7" s="28" t="s">
        <v>801</v>
      </c>
      <c r="D7" t="s">
        <v>802</v>
      </c>
      <c r="E7">
        <v>72</v>
      </c>
      <c r="F7" t="s">
        <v>2185</v>
      </c>
      <c r="G7" s="49">
        <v>6</v>
      </c>
      <c r="H7" s="50">
        <v>6</v>
      </c>
      <c r="I7" s="50">
        <v>2.8710099119999999</v>
      </c>
      <c r="J7" s="50">
        <v>40.799999999999997</v>
      </c>
      <c r="K7" t="s">
        <v>2186</v>
      </c>
      <c r="L7">
        <v>6.8</v>
      </c>
      <c r="M7">
        <v>0.478501652</v>
      </c>
      <c r="N7">
        <v>12</v>
      </c>
      <c r="O7" t="s">
        <v>2187</v>
      </c>
      <c r="P7">
        <v>108</v>
      </c>
      <c r="R7">
        <v>72</v>
      </c>
      <c r="S7" s="51">
        <v>12</v>
      </c>
      <c r="T7" t="s">
        <v>2191</v>
      </c>
      <c r="U7" s="47">
        <v>6</v>
      </c>
      <c r="V7" s="28" t="s">
        <v>2201</v>
      </c>
    </row>
    <row r="8" spans="1:22">
      <c r="A8">
        <v>7</v>
      </c>
      <c r="B8" s="28" t="s">
        <v>2202</v>
      </c>
      <c r="C8" s="28" t="s">
        <v>450</v>
      </c>
      <c r="D8" t="s">
        <v>451</v>
      </c>
      <c r="E8">
        <v>24</v>
      </c>
      <c r="F8" t="s">
        <v>2185</v>
      </c>
      <c r="G8" s="49">
        <v>1</v>
      </c>
      <c r="H8" s="50">
        <v>1</v>
      </c>
      <c r="I8" s="50">
        <v>0.84046253299999996</v>
      </c>
      <c r="J8" s="50">
        <v>10.6</v>
      </c>
      <c r="K8" t="s">
        <v>2186</v>
      </c>
      <c r="L8">
        <v>10.6</v>
      </c>
      <c r="M8">
        <v>0.84046253299999996</v>
      </c>
      <c r="N8">
        <v>24</v>
      </c>
      <c r="O8" t="s">
        <v>2187</v>
      </c>
      <c r="P8">
        <v>60</v>
      </c>
      <c r="R8">
        <v>24</v>
      </c>
      <c r="S8" s="51">
        <v>24</v>
      </c>
      <c r="T8" t="s">
        <v>2203</v>
      </c>
      <c r="U8" s="47">
        <v>1</v>
      </c>
      <c r="V8" s="28" t="s">
        <v>2204</v>
      </c>
    </row>
    <row r="9" spans="1:22">
      <c r="A9">
        <v>8</v>
      </c>
      <c r="B9" s="28" t="s">
        <v>2205</v>
      </c>
      <c r="C9" s="28" t="s">
        <v>1990</v>
      </c>
      <c r="D9" t="s">
        <v>1991</v>
      </c>
      <c r="E9">
        <v>96</v>
      </c>
      <c r="F9" t="s">
        <v>2185</v>
      </c>
      <c r="G9" s="49">
        <v>16</v>
      </c>
      <c r="H9" s="50">
        <v>16</v>
      </c>
      <c r="I9" s="50">
        <v>75.801359087999998</v>
      </c>
      <c r="J9" s="50">
        <v>328</v>
      </c>
      <c r="K9" t="s">
        <v>2186</v>
      </c>
      <c r="L9">
        <v>20.5</v>
      </c>
      <c r="M9">
        <v>4.7375849429999999</v>
      </c>
      <c r="N9">
        <v>6</v>
      </c>
      <c r="O9" t="s">
        <v>2187</v>
      </c>
      <c r="P9">
        <v>16</v>
      </c>
      <c r="R9">
        <v>96</v>
      </c>
      <c r="S9" s="51">
        <v>6</v>
      </c>
      <c r="T9" t="s">
        <v>2206</v>
      </c>
      <c r="U9" s="47">
        <v>16</v>
      </c>
      <c r="V9" s="28" t="s">
        <v>2207</v>
      </c>
    </row>
    <row r="10" spans="1:22">
      <c r="A10">
        <v>9</v>
      </c>
      <c r="B10" s="28" t="s">
        <v>2208</v>
      </c>
      <c r="C10" s="28" t="s">
        <v>1135</v>
      </c>
      <c r="D10" t="s">
        <v>1136</v>
      </c>
      <c r="E10">
        <v>180</v>
      </c>
      <c r="F10" t="s">
        <v>2185</v>
      </c>
      <c r="G10" s="49">
        <v>15</v>
      </c>
      <c r="H10" s="50">
        <v>15</v>
      </c>
      <c r="I10" s="50">
        <v>5.6539032449999995</v>
      </c>
      <c r="J10" s="50">
        <v>31.5</v>
      </c>
      <c r="K10" t="s">
        <v>2186</v>
      </c>
      <c r="L10">
        <v>2.1</v>
      </c>
      <c r="M10">
        <v>0.37692688299999999</v>
      </c>
      <c r="N10">
        <v>12</v>
      </c>
      <c r="O10" t="s">
        <v>2187</v>
      </c>
      <c r="P10">
        <v>180</v>
      </c>
      <c r="R10">
        <v>180</v>
      </c>
      <c r="S10" s="51">
        <v>12</v>
      </c>
      <c r="T10" t="s">
        <v>2209</v>
      </c>
      <c r="U10" s="47">
        <v>15</v>
      </c>
      <c r="V10" s="28" t="s">
        <v>2210</v>
      </c>
    </row>
    <row r="11" spans="1:22">
      <c r="A11">
        <v>10</v>
      </c>
      <c r="B11" s="28" t="s">
        <v>2211</v>
      </c>
      <c r="C11" s="28" t="s">
        <v>685</v>
      </c>
      <c r="D11" t="s">
        <v>686</v>
      </c>
      <c r="E11">
        <v>24</v>
      </c>
      <c r="F11" t="s">
        <v>2185</v>
      </c>
      <c r="G11" s="49">
        <v>2</v>
      </c>
      <c r="H11" s="50">
        <v>2</v>
      </c>
      <c r="I11" s="50">
        <v>0.85547762400000005</v>
      </c>
      <c r="J11" s="50">
        <v>7.4</v>
      </c>
      <c r="K11" t="s">
        <v>2186</v>
      </c>
      <c r="L11">
        <v>3.7</v>
      </c>
      <c r="M11">
        <v>0.42773881200000002</v>
      </c>
      <c r="N11">
        <v>12</v>
      </c>
      <c r="O11" t="s">
        <v>2212</v>
      </c>
      <c r="P11">
        <v>120</v>
      </c>
      <c r="R11">
        <v>24</v>
      </c>
      <c r="S11" s="51">
        <v>12</v>
      </c>
      <c r="T11" t="s">
        <v>2213</v>
      </c>
      <c r="U11" s="47">
        <v>2</v>
      </c>
      <c r="V11" s="28" t="s">
        <v>2214</v>
      </c>
    </row>
    <row r="12" spans="1:22">
      <c r="A12">
        <v>11</v>
      </c>
      <c r="B12" s="28" t="s">
        <v>2215</v>
      </c>
      <c r="C12" s="28" t="s">
        <v>132</v>
      </c>
      <c r="D12" t="s">
        <v>133</v>
      </c>
      <c r="E12">
        <v>864</v>
      </c>
      <c r="F12" t="s">
        <v>2185</v>
      </c>
      <c r="G12" s="49">
        <v>3</v>
      </c>
      <c r="H12" s="50">
        <v>3</v>
      </c>
      <c r="I12" s="50">
        <v>2.8289979509999998</v>
      </c>
      <c r="J12" s="50">
        <v>15.899999999999999</v>
      </c>
      <c r="K12" t="s">
        <v>2186</v>
      </c>
      <c r="L12">
        <v>5.3</v>
      </c>
      <c r="M12">
        <v>0.94299931699999995</v>
      </c>
      <c r="N12">
        <v>288</v>
      </c>
      <c r="O12" t="s">
        <v>2187</v>
      </c>
      <c r="P12">
        <v>48</v>
      </c>
      <c r="R12">
        <v>864</v>
      </c>
      <c r="S12" s="51">
        <v>288</v>
      </c>
      <c r="T12" t="s">
        <v>2216</v>
      </c>
      <c r="U12" s="47">
        <v>3</v>
      </c>
      <c r="V12" s="28" t="s">
        <v>2217</v>
      </c>
    </row>
    <row r="13" spans="1:22">
      <c r="A13">
        <v>12</v>
      </c>
      <c r="B13" s="28" t="s">
        <v>2218</v>
      </c>
      <c r="C13" s="28" t="s">
        <v>1910</v>
      </c>
      <c r="D13" t="s">
        <v>1911</v>
      </c>
      <c r="E13">
        <v>12</v>
      </c>
      <c r="F13" t="s">
        <v>2185</v>
      </c>
      <c r="G13" s="49">
        <v>1</v>
      </c>
      <c r="H13" s="50">
        <v>1</v>
      </c>
      <c r="I13" s="50">
        <v>0.84774010700000002</v>
      </c>
      <c r="J13" s="50">
        <v>14.5</v>
      </c>
      <c r="K13" t="s">
        <v>2186</v>
      </c>
      <c r="L13">
        <v>14.5</v>
      </c>
      <c r="M13">
        <v>0.84774010700000002</v>
      </c>
      <c r="N13">
        <v>12</v>
      </c>
      <c r="O13" t="s">
        <v>2219</v>
      </c>
      <c r="P13">
        <v>80</v>
      </c>
      <c r="R13">
        <v>12</v>
      </c>
      <c r="S13" s="51">
        <v>12</v>
      </c>
      <c r="T13" t="s">
        <v>2203</v>
      </c>
      <c r="U13" s="47">
        <v>1</v>
      </c>
      <c r="V13" s="28" t="s">
        <v>2220</v>
      </c>
    </row>
    <row r="14" spans="1:22">
      <c r="A14">
        <v>13</v>
      </c>
      <c r="B14" s="28" t="s">
        <v>2221</v>
      </c>
      <c r="C14" s="28" t="s">
        <v>753</v>
      </c>
      <c r="D14" t="s">
        <v>754</v>
      </c>
      <c r="E14">
        <v>60</v>
      </c>
      <c r="F14" t="s">
        <v>2185</v>
      </c>
      <c r="G14" s="49">
        <v>6</v>
      </c>
      <c r="H14" s="50">
        <v>6</v>
      </c>
      <c r="I14" s="50">
        <v>4.9586582579999998</v>
      </c>
      <c r="J14" s="50">
        <v>65.400000000000006</v>
      </c>
      <c r="K14" t="s">
        <v>2186</v>
      </c>
      <c r="L14">
        <v>10.9</v>
      </c>
      <c r="M14">
        <v>0.82644304300000004</v>
      </c>
      <c r="N14">
        <v>10</v>
      </c>
      <c r="O14" t="s">
        <v>2187</v>
      </c>
      <c r="P14">
        <v>50</v>
      </c>
      <c r="R14">
        <v>60</v>
      </c>
      <c r="S14" s="51">
        <v>10</v>
      </c>
      <c r="T14" t="s">
        <v>2191</v>
      </c>
      <c r="U14" s="47">
        <v>6</v>
      </c>
      <c r="V14" s="28" t="s">
        <v>2222</v>
      </c>
    </row>
    <row r="15" spans="1:22">
      <c r="A15">
        <v>14</v>
      </c>
      <c r="B15" s="28" t="s">
        <v>2223</v>
      </c>
      <c r="C15" s="28" t="s">
        <v>831</v>
      </c>
      <c r="D15" t="s">
        <v>832</v>
      </c>
      <c r="E15">
        <v>72</v>
      </c>
      <c r="F15" t="s">
        <v>2185</v>
      </c>
      <c r="G15" s="49">
        <v>6</v>
      </c>
      <c r="H15" s="50">
        <v>6</v>
      </c>
      <c r="I15" s="50">
        <v>5.6433384120000003</v>
      </c>
      <c r="J15" s="50">
        <v>78</v>
      </c>
      <c r="K15" t="s">
        <v>2186</v>
      </c>
      <c r="L15">
        <v>13</v>
      </c>
      <c r="M15">
        <v>0.94055640200000001</v>
      </c>
      <c r="N15">
        <v>12</v>
      </c>
      <c r="O15" t="s">
        <v>2187</v>
      </c>
      <c r="P15">
        <v>60</v>
      </c>
      <c r="R15">
        <v>72</v>
      </c>
      <c r="S15" s="51">
        <v>12</v>
      </c>
      <c r="T15" t="s">
        <v>2191</v>
      </c>
      <c r="U15" s="47">
        <v>6</v>
      </c>
      <c r="V15" s="28" t="s">
        <v>2224</v>
      </c>
    </row>
    <row r="16" spans="1:22">
      <c r="A16">
        <v>15</v>
      </c>
      <c r="B16" s="28" t="s">
        <v>2225</v>
      </c>
      <c r="C16" s="28" t="s">
        <v>709</v>
      </c>
      <c r="D16" t="s">
        <v>710</v>
      </c>
      <c r="E16">
        <v>288</v>
      </c>
      <c r="F16" t="s">
        <v>2185</v>
      </c>
      <c r="G16" s="49">
        <v>24</v>
      </c>
      <c r="H16" s="50">
        <v>24</v>
      </c>
      <c r="I16" s="50">
        <v>14.149505663999999</v>
      </c>
      <c r="J16" s="50">
        <v>168</v>
      </c>
      <c r="K16" t="s">
        <v>2186</v>
      </c>
      <c r="L16">
        <v>7</v>
      </c>
      <c r="M16">
        <v>0.58956273599999998</v>
      </c>
      <c r="N16">
        <v>12</v>
      </c>
      <c r="O16" t="s">
        <v>2187</v>
      </c>
      <c r="P16">
        <v>108</v>
      </c>
      <c r="R16">
        <v>288</v>
      </c>
      <c r="S16" s="51">
        <v>12</v>
      </c>
      <c r="T16" t="s">
        <v>2226</v>
      </c>
      <c r="U16" s="47">
        <v>24</v>
      </c>
      <c r="V16" s="28" t="s">
        <v>2227</v>
      </c>
    </row>
    <row r="17" spans="1:22">
      <c r="A17">
        <v>16</v>
      </c>
      <c r="B17" s="28" t="s">
        <v>2228</v>
      </c>
      <c r="C17" s="28" t="s">
        <v>1643</v>
      </c>
      <c r="D17" t="s">
        <v>1644</v>
      </c>
      <c r="E17">
        <v>840</v>
      </c>
      <c r="F17" t="s">
        <v>2185</v>
      </c>
      <c r="G17" s="49">
        <v>70</v>
      </c>
      <c r="H17" s="50">
        <v>70</v>
      </c>
      <c r="I17" s="50">
        <v>125.50395143999999</v>
      </c>
      <c r="J17" s="50">
        <v>462</v>
      </c>
      <c r="K17" t="s">
        <v>2186</v>
      </c>
      <c r="L17">
        <v>6.6</v>
      </c>
      <c r="M17">
        <v>1.7929135919999999</v>
      </c>
      <c r="N17">
        <v>12</v>
      </c>
      <c r="O17" t="s">
        <v>2187</v>
      </c>
      <c r="P17">
        <v>35</v>
      </c>
      <c r="R17">
        <v>840</v>
      </c>
      <c r="S17" s="51">
        <v>12</v>
      </c>
      <c r="T17" t="s">
        <v>2229</v>
      </c>
      <c r="U17" s="47">
        <v>70</v>
      </c>
      <c r="V17" s="28" t="s">
        <v>2230</v>
      </c>
    </row>
    <row r="18" spans="1:22">
      <c r="A18">
        <v>17</v>
      </c>
      <c r="B18" s="28" t="s">
        <v>2231</v>
      </c>
      <c r="C18" s="28" t="s">
        <v>1712</v>
      </c>
      <c r="D18" t="s">
        <v>1713</v>
      </c>
      <c r="E18">
        <v>576</v>
      </c>
      <c r="F18" t="s">
        <v>2185</v>
      </c>
      <c r="G18" s="49">
        <v>48</v>
      </c>
      <c r="H18" s="50">
        <v>48</v>
      </c>
      <c r="I18" s="50">
        <v>68.16</v>
      </c>
      <c r="J18" s="50">
        <v>206.39999999999998</v>
      </c>
      <c r="K18" t="s">
        <v>2186</v>
      </c>
      <c r="L18">
        <v>4.3</v>
      </c>
      <c r="M18">
        <v>1.42</v>
      </c>
      <c r="N18">
        <v>12</v>
      </c>
      <c r="O18" t="s">
        <v>2187</v>
      </c>
      <c r="P18">
        <v>48</v>
      </c>
      <c r="R18">
        <v>576</v>
      </c>
      <c r="S18" s="51">
        <v>12</v>
      </c>
      <c r="T18" t="s">
        <v>2232</v>
      </c>
      <c r="U18" s="47">
        <v>48</v>
      </c>
      <c r="V18" s="28" t="s">
        <v>2233</v>
      </c>
    </row>
    <row r="19" spans="1:22">
      <c r="A19">
        <v>18</v>
      </c>
      <c r="B19" s="28" t="s">
        <v>2234</v>
      </c>
      <c r="C19" s="28" t="s">
        <v>1508</v>
      </c>
      <c r="D19" t="s">
        <v>1509</v>
      </c>
      <c r="E19">
        <v>480</v>
      </c>
      <c r="F19" t="s">
        <v>2185</v>
      </c>
      <c r="G19" s="49">
        <v>10</v>
      </c>
      <c r="H19" s="50">
        <v>10</v>
      </c>
      <c r="I19" s="50">
        <v>9.4945217999999993</v>
      </c>
      <c r="J19" s="50">
        <v>110</v>
      </c>
      <c r="K19" t="s">
        <v>2186</v>
      </c>
      <c r="L19">
        <v>11</v>
      </c>
      <c r="M19">
        <v>0.94945217999999998</v>
      </c>
      <c r="N19">
        <v>48</v>
      </c>
      <c r="O19" t="s">
        <v>2187</v>
      </c>
      <c r="P19">
        <v>36</v>
      </c>
      <c r="R19">
        <v>480</v>
      </c>
      <c r="S19" s="51">
        <v>48</v>
      </c>
      <c r="T19" t="s">
        <v>2235</v>
      </c>
      <c r="U19" s="47">
        <v>10</v>
      </c>
      <c r="V19" s="28" t="s">
        <v>2236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9"/>
  <sheetViews>
    <sheetView workbookViewId="0"/>
  </sheetViews>
  <sheetFormatPr defaultRowHeight="16.5"/>
  <cols>
    <col min="1" max="1" width="5" bestFit="1" customWidth="1"/>
    <col min="2" max="2" width="6" bestFit="1" customWidth="1"/>
    <col min="3" max="3" width="7.5" bestFit="1" customWidth="1"/>
    <col min="4" max="4" width="23.875" bestFit="1" customWidth="1"/>
    <col min="5" max="8" width="10.25" bestFit="1" customWidth="1"/>
    <col min="9" max="10" width="8.125" bestFit="1" customWidth="1"/>
    <col min="11" max="11" width="6" bestFit="1" customWidth="1"/>
    <col min="12" max="16" width="10.25" bestFit="1" customWidth="1"/>
    <col min="17" max="17" width="10.5" bestFit="1" customWidth="1"/>
    <col min="18" max="20" width="10.25" bestFit="1" customWidth="1"/>
    <col min="21" max="21" width="6" bestFit="1" customWidth="1"/>
    <col min="22" max="22" width="10.25" bestFit="1" customWidth="1"/>
    <col min="23" max="23" width="6" bestFit="1" customWidth="1"/>
    <col min="24" max="24" width="15" bestFit="1" customWidth="1"/>
  </cols>
  <sheetData>
    <row r="1" spans="1:24" s="44" customFormat="1">
      <c r="A1" s="44" t="s">
        <v>2237</v>
      </c>
      <c r="B1" s="44" t="s">
        <v>2238</v>
      </c>
      <c r="C1" s="44" t="s">
        <v>98</v>
      </c>
      <c r="D1" s="44" t="s">
        <v>99</v>
      </c>
      <c r="E1" s="44" t="s">
        <v>2239</v>
      </c>
      <c r="F1" s="44" t="s">
        <v>2168</v>
      </c>
      <c r="G1" s="44" t="s">
        <v>2169</v>
      </c>
      <c r="H1" s="44" t="s">
        <v>2170</v>
      </c>
      <c r="I1" s="44" t="s">
        <v>2171</v>
      </c>
      <c r="J1" s="44" t="s">
        <v>2172</v>
      </c>
      <c r="K1" s="44" t="s">
        <v>2173</v>
      </c>
      <c r="L1" s="44" t="s">
        <v>2174</v>
      </c>
      <c r="M1" s="44" t="s">
        <v>2175</v>
      </c>
      <c r="N1" s="44" t="s">
        <v>2176</v>
      </c>
      <c r="O1" s="44" t="s">
        <v>2177</v>
      </c>
      <c r="P1" s="44" t="s">
        <v>102</v>
      </c>
      <c r="Q1" s="44" t="s">
        <v>2178</v>
      </c>
      <c r="R1" s="44" t="s">
        <v>2240</v>
      </c>
      <c r="S1" s="44" t="s">
        <v>2241</v>
      </c>
      <c r="U1" s="44" t="s">
        <v>2242</v>
      </c>
      <c r="V1" s="44" t="s">
        <v>2181</v>
      </c>
      <c r="W1" s="44" t="s">
        <v>2182</v>
      </c>
      <c r="X1" s="44" t="s">
        <v>2183</v>
      </c>
    </row>
    <row r="2" spans="1:24">
      <c r="A2">
        <v>1</v>
      </c>
      <c r="B2" s="28" t="s">
        <v>2184</v>
      </c>
      <c r="C2" s="28" t="s">
        <v>321</v>
      </c>
      <c r="D2" t="s">
        <v>322</v>
      </c>
      <c r="E2">
        <v>48</v>
      </c>
      <c r="F2" t="s">
        <v>2185</v>
      </c>
      <c r="G2" s="49">
        <v>4</v>
      </c>
      <c r="H2" s="49">
        <v>4</v>
      </c>
      <c r="I2" s="50">
        <v>3.0376550400000002</v>
      </c>
      <c r="J2" s="50">
        <v>52</v>
      </c>
      <c r="K2" t="s">
        <v>2186</v>
      </c>
      <c r="L2">
        <v>13</v>
      </c>
      <c r="M2" s="50">
        <v>0.75941376000000005</v>
      </c>
      <c r="N2">
        <v>12</v>
      </c>
      <c r="O2" t="s">
        <v>2187</v>
      </c>
      <c r="P2" s="28">
        <v>4</v>
      </c>
      <c r="Q2" s="52">
        <v>46794</v>
      </c>
      <c r="R2" s="49">
        <v>48</v>
      </c>
      <c r="S2" s="51">
        <v>12</v>
      </c>
      <c r="T2">
        <v>48</v>
      </c>
      <c r="V2" t="s">
        <v>2188</v>
      </c>
      <c r="W2" s="47">
        <v>4</v>
      </c>
      <c r="X2" s="28" t="s">
        <v>2189</v>
      </c>
    </row>
    <row r="3" spans="1:24">
      <c r="A3">
        <v>2</v>
      </c>
      <c r="B3" s="28" t="s">
        <v>2193</v>
      </c>
      <c r="C3" s="28" t="s">
        <v>323</v>
      </c>
      <c r="D3" t="s">
        <v>324</v>
      </c>
      <c r="E3">
        <v>288</v>
      </c>
      <c r="F3" t="s">
        <v>2185</v>
      </c>
      <c r="G3" s="49">
        <v>12</v>
      </c>
      <c r="H3" s="49">
        <v>12</v>
      </c>
      <c r="I3" s="50">
        <v>6.9866065919999993</v>
      </c>
      <c r="J3" s="50">
        <v>97.199999999999989</v>
      </c>
      <c r="K3" t="s">
        <v>2186</v>
      </c>
      <c r="L3">
        <v>8.1</v>
      </c>
      <c r="M3" s="50">
        <v>0.58221721599999998</v>
      </c>
      <c r="N3">
        <v>24</v>
      </c>
      <c r="O3" t="s">
        <v>2187</v>
      </c>
      <c r="P3" s="28">
        <v>12</v>
      </c>
      <c r="Q3" s="52">
        <v>46855</v>
      </c>
      <c r="R3" s="49">
        <v>288</v>
      </c>
      <c r="S3" s="51">
        <v>24</v>
      </c>
      <c r="T3">
        <v>288</v>
      </c>
      <c r="V3" t="s">
        <v>2194</v>
      </c>
      <c r="W3" s="47">
        <v>12</v>
      </c>
      <c r="X3" s="28" t="s">
        <v>2195</v>
      </c>
    </row>
    <row r="4" spans="1:24">
      <c r="A4">
        <v>3</v>
      </c>
      <c r="B4" s="28" t="s">
        <v>2196</v>
      </c>
      <c r="C4" s="28" t="s">
        <v>327</v>
      </c>
      <c r="D4" t="s">
        <v>328</v>
      </c>
      <c r="E4">
        <v>144</v>
      </c>
      <c r="F4" t="s">
        <v>2185</v>
      </c>
      <c r="G4" s="49">
        <v>6</v>
      </c>
      <c r="H4" s="49">
        <v>6</v>
      </c>
      <c r="I4" s="50">
        <v>3.4793651699999995</v>
      </c>
      <c r="J4" s="50">
        <v>62.699999999999996</v>
      </c>
      <c r="K4" t="s">
        <v>2186</v>
      </c>
      <c r="L4">
        <v>10.45</v>
      </c>
      <c r="M4" s="50">
        <v>0.57989419499999995</v>
      </c>
      <c r="N4">
        <v>24</v>
      </c>
      <c r="O4" t="s">
        <v>2187</v>
      </c>
      <c r="P4" s="28">
        <v>6</v>
      </c>
      <c r="Q4" s="52">
        <v>46697</v>
      </c>
      <c r="R4" s="49">
        <v>144</v>
      </c>
      <c r="S4" s="51">
        <v>24</v>
      </c>
      <c r="T4">
        <v>144</v>
      </c>
      <c r="V4" t="s">
        <v>2191</v>
      </c>
      <c r="W4" s="47">
        <v>6</v>
      </c>
      <c r="X4" s="28" t="s">
        <v>2197</v>
      </c>
    </row>
    <row r="5" spans="1:24">
      <c r="A5">
        <v>4</v>
      </c>
      <c r="B5" s="28" t="s">
        <v>2202</v>
      </c>
      <c r="C5" s="28" t="s">
        <v>450</v>
      </c>
      <c r="D5" t="s">
        <v>451</v>
      </c>
      <c r="E5">
        <v>24</v>
      </c>
      <c r="F5" t="s">
        <v>2185</v>
      </c>
      <c r="G5" s="49">
        <v>1</v>
      </c>
      <c r="H5" s="49">
        <v>1</v>
      </c>
      <c r="I5" s="50">
        <v>0.84046253299999996</v>
      </c>
      <c r="J5" s="50">
        <v>10.6</v>
      </c>
      <c r="K5" t="s">
        <v>2186</v>
      </c>
      <c r="L5">
        <v>10.6</v>
      </c>
      <c r="M5" s="50">
        <v>0.84046253299999996</v>
      </c>
      <c r="N5">
        <v>24</v>
      </c>
      <c r="O5" t="s">
        <v>2187</v>
      </c>
      <c r="P5" s="28">
        <v>1</v>
      </c>
      <c r="Q5" s="52">
        <v>46491</v>
      </c>
      <c r="R5" s="49">
        <v>24</v>
      </c>
      <c r="S5" s="51">
        <v>24</v>
      </c>
      <c r="T5">
        <v>24</v>
      </c>
      <c r="V5" t="s">
        <v>2203</v>
      </c>
      <c r="W5" s="47">
        <v>1</v>
      </c>
      <c r="X5" s="28" t="s">
        <v>2204</v>
      </c>
    </row>
    <row r="6" spans="1:24">
      <c r="A6">
        <v>5</v>
      </c>
      <c r="B6" s="28" t="s">
        <v>2211</v>
      </c>
      <c r="C6" s="28" t="s">
        <v>685</v>
      </c>
      <c r="D6" t="s">
        <v>686</v>
      </c>
      <c r="E6">
        <v>24</v>
      </c>
      <c r="F6" t="s">
        <v>2185</v>
      </c>
      <c r="G6" s="49">
        <v>2</v>
      </c>
      <c r="H6" s="49">
        <v>2</v>
      </c>
      <c r="I6" s="50">
        <v>0.85547762400000005</v>
      </c>
      <c r="J6" s="50">
        <v>7.4</v>
      </c>
      <c r="K6" t="s">
        <v>2186</v>
      </c>
      <c r="L6">
        <v>3.7</v>
      </c>
      <c r="M6" s="50">
        <v>0.42773881200000002</v>
      </c>
      <c r="N6">
        <v>12</v>
      </c>
      <c r="O6" t="s">
        <v>2212</v>
      </c>
      <c r="P6" s="28">
        <v>2</v>
      </c>
      <c r="Q6" s="52">
        <v>46520</v>
      </c>
      <c r="R6" s="49">
        <v>24</v>
      </c>
      <c r="S6" s="51">
        <v>12</v>
      </c>
      <c r="T6">
        <v>24</v>
      </c>
      <c r="V6" t="s">
        <v>2213</v>
      </c>
      <c r="W6" s="47">
        <v>2</v>
      </c>
      <c r="X6" s="28" t="s">
        <v>2214</v>
      </c>
    </row>
    <row r="7" spans="1:24">
      <c r="A7">
        <v>6</v>
      </c>
      <c r="B7" s="28" t="s">
        <v>2225</v>
      </c>
      <c r="C7" s="28" t="s">
        <v>709</v>
      </c>
      <c r="D7" t="s">
        <v>710</v>
      </c>
      <c r="E7">
        <v>288</v>
      </c>
      <c r="F7" t="s">
        <v>2185</v>
      </c>
      <c r="G7" s="49">
        <v>24</v>
      </c>
      <c r="H7" s="49">
        <v>24</v>
      </c>
      <c r="I7" s="50">
        <v>14.149505663999999</v>
      </c>
      <c r="J7" s="50">
        <v>168</v>
      </c>
      <c r="K7" t="s">
        <v>2186</v>
      </c>
      <c r="L7">
        <v>7</v>
      </c>
      <c r="M7" s="50">
        <v>0.58956273599999998</v>
      </c>
      <c r="N7">
        <v>12</v>
      </c>
      <c r="O7" t="s">
        <v>2187</v>
      </c>
      <c r="P7" s="28">
        <v>24</v>
      </c>
      <c r="Q7" s="52">
        <v>46719</v>
      </c>
      <c r="R7" s="49">
        <v>288</v>
      </c>
      <c r="S7" s="51">
        <v>12</v>
      </c>
      <c r="T7">
        <v>288</v>
      </c>
      <c r="V7" t="s">
        <v>2226</v>
      </c>
      <c r="W7" s="47">
        <v>24</v>
      </c>
      <c r="X7" s="28" t="s">
        <v>2227</v>
      </c>
    </row>
    <row r="8" spans="1:24">
      <c r="A8">
        <v>7</v>
      </c>
      <c r="B8" s="28" t="s">
        <v>2221</v>
      </c>
      <c r="C8" s="28" t="s">
        <v>753</v>
      </c>
      <c r="D8" t="s">
        <v>754</v>
      </c>
      <c r="E8">
        <v>60</v>
      </c>
      <c r="F8" t="s">
        <v>2185</v>
      </c>
      <c r="G8" s="49">
        <v>6</v>
      </c>
      <c r="H8" s="49">
        <v>6</v>
      </c>
      <c r="I8" s="50">
        <v>4.9586582579999998</v>
      </c>
      <c r="J8" s="50">
        <v>65.400000000000006</v>
      </c>
      <c r="K8" t="s">
        <v>2186</v>
      </c>
      <c r="L8">
        <v>10.9</v>
      </c>
      <c r="M8" s="50">
        <v>0.82644304300000004</v>
      </c>
      <c r="N8">
        <v>10</v>
      </c>
      <c r="O8" t="s">
        <v>2187</v>
      </c>
      <c r="P8" s="28">
        <v>6</v>
      </c>
      <c r="Q8" s="52">
        <v>46527</v>
      </c>
      <c r="R8" s="49">
        <v>60</v>
      </c>
      <c r="S8" s="51">
        <v>10</v>
      </c>
      <c r="T8">
        <v>60</v>
      </c>
      <c r="V8" t="s">
        <v>2191</v>
      </c>
      <c r="W8" s="47">
        <v>6</v>
      </c>
      <c r="X8" s="28" t="s">
        <v>2222</v>
      </c>
    </row>
    <row r="9" spans="1:24">
      <c r="A9">
        <v>8</v>
      </c>
      <c r="B9" s="28" t="s">
        <v>2200</v>
      </c>
      <c r="C9" s="28" t="s">
        <v>801</v>
      </c>
      <c r="D9" t="s">
        <v>802</v>
      </c>
      <c r="E9">
        <v>72</v>
      </c>
      <c r="F9" t="s">
        <v>2185</v>
      </c>
      <c r="G9" s="49">
        <v>6</v>
      </c>
      <c r="H9" s="49">
        <v>6</v>
      </c>
      <c r="I9" s="50">
        <v>2.8710099119999999</v>
      </c>
      <c r="J9" s="50">
        <v>40.799999999999997</v>
      </c>
      <c r="K9" t="s">
        <v>2186</v>
      </c>
      <c r="L9">
        <v>6.8</v>
      </c>
      <c r="M9" s="50">
        <v>0.478501652</v>
      </c>
      <c r="N9">
        <v>12</v>
      </c>
      <c r="O9" t="s">
        <v>2187</v>
      </c>
      <c r="P9" s="28">
        <v>6</v>
      </c>
      <c r="Q9" s="52">
        <v>46513</v>
      </c>
      <c r="R9" s="49">
        <v>72</v>
      </c>
      <c r="S9" s="51">
        <v>12</v>
      </c>
      <c r="T9">
        <v>72</v>
      </c>
      <c r="V9" t="s">
        <v>2191</v>
      </c>
      <c r="W9" s="47">
        <v>6</v>
      </c>
      <c r="X9" s="28" t="s">
        <v>2201</v>
      </c>
    </row>
    <row r="10" spans="1:24">
      <c r="A10">
        <v>9</v>
      </c>
      <c r="B10" s="28" t="s">
        <v>2223</v>
      </c>
      <c r="C10" s="28" t="s">
        <v>831</v>
      </c>
      <c r="D10" t="s">
        <v>832</v>
      </c>
      <c r="E10">
        <v>72</v>
      </c>
      <c r="F10" t="s">
        <v>2185</v>
      </c>
      <c r="G10" s="49">
        <v>6</v>
      </c>
      <c r="H10" s="49">
        <v>6</v>
      </c>
      <c r="I10" s="50">
        <v>5.6433384120000003</v>
      </c>
      <c r="J10" s="50">
        <v>78</v>
      </c>
      <c r="K10" t="s">
        <v>2186</v>
      </c>
      <c r="L10">
        <v>13</v>
      </c>
      <c r="M10" s="50">
        <v>0.94055640200000001</v>
      </c>
      <c r="N10">
        <v>12</v>
      </c>
      <c r="O10" t="s">
        <v>2187</v>
      </c>
      <c r="P10" s="28">
        <v>6</v>
      </c>
      <c r="Q10" s="52">
        <v>46511</v>
      </c>
      <c r="R10" s="49">
        <v>72</v>
      </c>
      <c r="S10" s="51">
        <v>12</v>
      </c>
      <c r="T10">
        <v>72</v>
      </c>
      <c r="V10" t="s">
        <v>2191</v>
      </c>
      <c r="W10" s="47">
        <v>6</v>
      </c>
      <c r="X10" s="28" t="s">
        <v>2224</v>
      </c>
    </row>
    <row r="11" spans="1:24">
      <c r="A11">
        <v>10</v>
      </c>
      <c r="B11" s="28" t="s">
        <v>2198</v>
      </c>
      <c r="C11" s="28" t="s">
        <v>855</v>
      </c>
      <c r="D11" t="s">
        <v>856</v>
      </c>
      <c r="E11">
        <v>72</v>
      </c>
      <c r="F11" t="s">
        <v>2185</v>
      </c>
      <c r="G11" s="49">
        <v>6</v>
      </c>
      <c r="H11" s="49">
        <v>6</v>
      </c>
      <c r="I11" s="50">
        <v>2.9531109299999998</v>
      </c>
      <c r="J11" s="50">
        <v>40.799999999999997</v>
      </c>
      <c r="K11" t="s">
        <v>2186</v>
      </c>
      <c r="L11">
        <v>6.8</v>
      </c>
      <c r="M11" s="50">
        <v>0.49218515499999999</v>
      </c>
      <c r="N11">
        <v>12</v>
      </c>
      <c r="O11" t="s">
        <v>2187</v>
      </c>
      <c r="P11" s="28">
        <v>6</v>
      </c>
      <c r="Q11" s="52">
        <v>46681</v>
      </c>
      <c r="R11" s="49">
        <v>72</v>
      </c>
      <c r="S11" s="51">
        <v>12</v>
      </c>
      <c r="T11">
        <v>72</v>
      </c>
      <c r="V11" t="s">
        <v>2191</v>
      </c>
      <c r="W11" s="47">
        <v>6</v>
      </c>
      <c r="X11" s="28" t="s">
        <v>2199</v>
      </c>
    </row>
    <row r="12" spans="1:24">
      <c r="A12">
        <v>11</v>
      </c>
      <c r="B12" s="28" t="s">
        <v>2215</v>
      </c>
      <c r="C12" s="28" t="s">
        <v>132</v>
      </c>
      <c r="D12" t="s">
        <v>133</v>
      </c>
      <c r="E12">
        <v>864</v>
      </c>
      <c r="F12" t="s">
        <v>2185</v>
      </c>
      <c r="G12" s="49">
        <v>3</v>
      </c>
      <c r="H12" s="49">
        <v>3</v>
      </c>
      <c r="I12" s="50">
        <v>2.8289979509999998</v>
      </c>
      <c r="J12" s="50">
        <v>15.899999999999999</v>
      </c>
      <c r="K12" t="s">
        <v>2186</v>
      </c>
      <c r="L12">
        <v>5.3</v>
      </c>
      <c r="M12" s="50">
        <v>0.94299931699999995</v>
      </c>
      <c r="N12">
        <v>288</v>
      </c>
      <c r="O12" t="s">
        <v>2187</v>
      </c>
      <c r="P12" s="28">
        <v>3</v>
      </c>
      <c r="Q12" s="52">
        <v>46679</v>
      </c>
      <c r="R12" s="49">
        <v>864</v>
      </c>
      <c r="S12" s="51">
        <v>288</v>
      </c>
      <c r="T12">
        <v>864</v>
      </c>
      <c r="V12" t="s">
        <v>2216</v>
      </c>
      <c r="W12" s="47">
        <v>3</v>
      </c>
      <c r="X12" s="28" t="s">
        <v>2217</v>
      </c>
    </row>
    <row r="13" spans="1:24">
      <c r="A13">
        <v>12</v>
      </c>
      <c r="B13" s="28" t="s">
        <v>2208</v>
      </c>
      <c r="C13" s="28" t="s">
        <v>1135</v>
      </c>
      <c r="D13" t="s">
        <v>1136</v>
      </c>
      <c r="E13">
        <v>180</v>
      </c>
      <c r="F13" t="s">
        <v>2185</v>
      </c>
      <c r="G13" s="49">
        <v>15</v>
      </c>
      <c r="H13" s="49">
        <v>15</v>
      </c>
      <c r="I13" s="50">
        <v>5.6539032449999995</v>
      </c>
      <c r="J13" s="50">
        <v>31.5</v>
      </c>
      <c r="K13" t="s">
        <v>2186</v>
      </c>
      <c r="L13">
        <v>2.1</v>
      </c>
      <c r="M13" s="50">
        <v>0.37692688299999999</v>
      </c>
      <c r="N13">
        <v>12</v>
      </c>
      <c r="O13" t="s">
        <v>2187</v>
      </c>
      <c r="P13" s="28">
        <v>15</v>
      </c>
      <c r="Q13" s="52">
        <v>46540</v>
      </c>
      <c r="R13" s="49">
        <v>180</v>
      </c>
      <c r="S13" s="51">
        <v>12</v>
      </c>
      <c r="T13">
        <v>180</v>
      </c>
      <c r="V13" t="s">
        <v>2209</v>
      </c>
      <c r="W13" s="47">
        <v>15</v>
      </c>
      <c r="X13" s="28" t="s">
        <v>2210</v>
      </c>
    </row>
    <row r="14" spans="1:24">
      <c r="A14">
        <v>13</v>
      </c>
      <c r="B14" s="28" t="s">
        <v>2190</v>
      </c>
      <c r="C14" s="28" t="s">
        <v>1246</v>
      </c>
      <c r="D14" t="s">
        <v>1247</v>
      </c>
      <c r="E14">
        <v>72</v>
      </c>
      <c r="F14" t="s">
        <v>2185</v>
      </c>
      <c r="G14" s="49">
        <v>6</v>
      </c>
      <c r="H14" s="49">
        <v>6</v>
      </c>
      <c r="I14" s="50">
        <v>5.4897563040000001</v>
      </c>
      <c r="J14" s="50">
        <v>95.4</v>
      </c>
      <c r="K14" t="s">
        <v>2186</v>
      </c>
      <c r="L14">
        <v>15.9</v>
      </c>
      <c r="M14" s="50">
        <v>0.91495938399999999</v>
      </c>
      <c r="N14">
        <v>12</v>
      </c>
      <c r="O14" t="s">
        <v>2187</v>
      </c>
      <c r="P14" s="28">
        <v>6</v>
      </c>
      <c r="Q14" s="52">
        <v>46541</v>
      </c>
      <c r="R14" s="49">
        <v>72</v>
      </c>
      <c r="S14" s="51">
        <v>12</v>
      </c>
      <c r="T14">
        <v>72</v>
      </c>
      <c r="V14" t="s">
        <v>2191</v>
      </c>
      <c r="W14" s="47">
        <v>6</v>
      </c>
      <c r="X14" s="28" t="s">
        <v>2192</v>
      </c>
    </row>
    <row r="15" spans="1:24">
      <c r="A15">
        <v>14</v>
      </c>
      <c r="B15" s="28" t="s">
        <v>2234</v>
      </c>
      <c r="C15" s="28" t="s">
        <v>1508</v>
      </c>
      <c r="D15" t="s">
        <v>1509</v>
      </c>
      <c r="E15">
        <v>480</v>
      </c>
      <c r="F15" t="s">
        <v>2185</v>
      </c>
      <c r="G15" s="49">
        <v>10</v>
      </c>
      <c r="H15" s="49">
        <v>10</v>
      </c>
      <c r="I15" s="50">
        <v>9.4945217999999993</v>
      </c>
      <c r="J15" s="50">
        <v>110</v>
      </c>
      <c r="K15" t="s">
        <v>2186</v>
      </c>
      <c r="L15">
        <v>11</v>
      </c>
      <c r="M15" s="50">
        <v>0.94945217999999998</v>
      </c>
      <c r="N15">
        <v>48</v>
      </c>
      <c r="O15" t="s">
        <v>2187</v>
      </c>
      <c r="P15" s="28">
        <v>10</v>
      </c>
      <c r="Q15" s="52">
        <v>46545</v>
      </c>
      <c r="R15" s="49">
        <v>480</v>
      </c>
      <c r="S15" s="51">
        <v>48</v>
      </c>
      <c r="T15">
        <v>480</v>
      </c>
      <c r="V15" t="s">
        <v>2235</v>
      </c>
      <c r="W15" s="47">
        <v>10</v>
      </c>
      <c r="X15" s="28" t="s">
        <v>2236</v>
      </c>
    </row>
    <row r="16" spans="1:24">
      <c r="A16">
        <v>15</v>
      </c>
      <c r="B16" s="28" t="s">
        <v>2228</v>
      </c>
      <c r="C16" s="28" t="s">
        <v>1643</v>
      </c>
      <c r="D16" t="s">
        <v>1644</v>
      </c>
      <c r="E16">
        <v>840</v>
      </c>
      <c r="F16" t="s">
        <v>2185</v>
      </c>
      <c r="G16" s="49">
        <v>70</v>
      </c>
      <c r="H16" s="49">
        <v>70</v>
      </c>
      <c r="I16" s="50">
        <v>125.50395143999999</v>
      </c>
      <c r="J16" s="50">
        <v>462</v>
      </c>
      <c r="K16" t="s">
        <v>2186</v>
      </c>
      <c r="L16">
        <v>6.6</v>
      </c>
      <c r="M16" s="50">
        <v>1.7929135919999999</v>
      </c>
      <c r="N16">
        <v>12</v>
      </c>
      <c r="O16" t="s">
        <v>2187</v>
      </c>
      <c r="P16" s="28">
        <v>70</v>
      </c>
      <c r="R16" s="49">
        <v>840</v>
      </c>
      <c r="S16" s="51">
        <v>12</v>
      </c>
      <c r="T16">
        <v>840</v>
      </c>
      <c r="V16" t="s">
        <v>2229</v>
      </c>
      <c r="W16" s="47">
        <v>70</v>
      </c>
      <c r="X16" s="28" t="s">
        <v>2230</v>
      </c>
    </row>
    <row r="17" spans="1:24">
      <c r="A17">
        <v>16</v>
      </c>
      <c r="B17" s="28" t="s">
        <v>2231</v>
      </c>
      <c r="C17" s="28" t="s">
        <v>1712</v>
      </c>
      <c r="D17" t="s">
        <v>1713</v>
      </c>
      <c r="E17">
        <v>576</v>
      </c>
      <c r="F17" t="s">
        <v>2185</v>
      </c>
      <c r="G17" s="49">
        <v>48</v>
      </c>
      <c r="H17" s="49">
        <v>48</v>
      </c>
      <c r="I17" s="50">
        <v>68.16</v>
      </c>
      <c r="J17" s="50">
        <v>206.39999999999998</v>
      </c>
      <c r="K17" t="s">
        <v>2186</v>
      </c>
      <c r="L17">
        <v>4.3</v>
      </c>
      <c r="M17" s="50">
        <v>1.42</v>
      </c>
      <c r="N17">
        <v>12</v>
      </c>
      <c r="O17" t="s">
        <v>2187</v>
      </c>
      <c r="P17" s="28">
        <v>48</v>
      </c>
      <c r="R17" s="49">
        <v>576</v>
      </c>
      <c r="S17" s="51">
        <v>12</v>
      </c>
      <c r="T17">
        <v>576</v>
      </c>
      <c r="V17" t="s">
        <v>2232</v>
      </c>
      <c r="W17" s="47">
        <v>48</v>
      </c>
      <c r="X17" s="28" t="s">
        <v>2233</v>
      </c>
    </row>
    <row r="18" spans="1:24">
      <c r="A18">
        <v>17</v>
      </c>
      <c r="B18" s="28" t="s">
        <v>2218</v>
      </c>
      <c r="C18" s="28" t="s">
        <v>1910</v>
      </c>
      <c r="D18" t="s">
        <v>1911</v>
      </c>
      <c r="E18">
        <v>12</v>
      </c>
      <c r="F18" t="s">
        <v>2185</v>
      </c>
      <c r="G18" s="49">
        <v>1</v>
      </c>
      <c r="H18" s="49">
        <v>1</v>
      </c>
      <c r="I18" s="50">
        <v>0.84774010700000002</v>
      </c>
      <c r="J18" s="50">
        <v>14.5</v>
      </c>
      <c r="K18" t="s">
        <v>2186</v>
      </c>
      <c r="L18">
        <v>14.5</v>
      </c>
      <c r="M18" s="50">
        <v>0.84774010700000002</v>
      </c>
      <c r="N18">
        <v>12</v>
      </c>
      <c r="O18" t="s">
        <v>2219</v>
      </c>
      <c r="P18" s="28">
        <v>1</v>
      </c>
      <c r="Q18" s="52">
        <v>47185</v>
      </c>
      <c r="R18" s="49">
        <v>12</v>
      </c>
      <c r="S18" s="51">
        <v>12</v>
      </c>
      <c r="T18">
        <v>12</v>
      </c>
      <c r="V18" t="s">
        <v>2203</v>
      </c>
      <c r="W18" s="47">
        <v>1</v>
      </c>
      <c r="X18" s="28" t="s">
        <v>2220</v>
      </c>
    </row>
    <row r="19" spans="1:24">
      <c r="A19">
        <v>18</v>
      </c>
      <c r="B19" s="28" t="s">
        <v>2205</v>
      </c>
      <c r="C19" s="28" t="s">
        <v>1990</v>
      </c>
      <c r="D19" t="s">
        <v>1991</v>
      </c>
      <c r="E19">
        <v>96</v>
      </c>
      <c r="F19" t="s">
        <v>2185</v>
      </c>
      <c r="G19" s="49">
        <v>16</v>
      </c>
      <c r="H19" s="49">
        <v>16</v>
      </c>
      <c r="I19" s="50">
        <v>75.801359087999998</v>
      </c>
      <c r="J19" s="50">
        <v>328</v>
      </c>
      <c r="K19" t="s">
        <v>2186</v>
      </c>
      <c r="L19">
        <v>20.5</v>
      </c>
      <c r="M19" s="50">
        <v>4.7375849429999999</v>
      </c>
      <c r="N19">
        <v>6</v>
      </c>
      <c r="O19" t="s">
        <v>2187</v>
      </c>
      <c r="P19" s="28">
        <v>16</v>
      </c>
      <c r="Q19" s="52">
        <v>47154</v>
      </c>
      <c r="R19" s="49">
        <v>96</v>
      </c>
      <c r="S19" s="51">
        <v>6</v>
      </c>
      <c r="T19">
        <v>96</v>
      </c>
      <c r="V19" t="s">
        <v>2206</v>
      </c>
      <c r="W19" s="47">
        <v>16</v>
      </c>
      <c r="X19" s="28" t="s">
        <v>2207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"/>
  <sheetViews>
    <sheetView workbookViewId="0">
      <selection activeCell="A2" sqref="A2:N20"/>
    </sheetView>
  </sheetViews>
  <sheetFormatPr defaultRowHeight="16.5"/>
  <cols>
    <col min="1" max="2" width="10.25" bestFit="1" customWidth="1"/>
    <col min="3" max="3" width="7.5" bestFit="1" customWidth="1"/>
    <col min="4" max="4" width="23.875" bestFit="1" customWidth="1"/>
    <col min="5" max="5" width="10.25" bestFit="1" customWidth="1"/>
    <col min="6" max="6" width="6" bestFit="1" customWidth="1"/>
    <col min="7" max="10" width="10.25" bestFit="1" customWidth="1"/>
    <col min="11" max="11" width="9.5" bestFit="1" customWidth="1"/>
    <col min="12" max="12" width="6" bestFit="1" customWidth="1"/>
    <col min="13" max="13" width="10.25" bestFit="1" customWidth="1"/>
    <col min="14" max="14" width="10.25" style="25" bestFit="1" customWidth="1"/>
    <col min="15" max="17" width="10.25" bestFit="1" customWidth="1"/>
    <col min="18" max="18" width="13.25" bestFit="1" customWidth="1"/>
    <col min="19" max="19" width="6" bestFit="1" customWidth="1"/>
    <col min="20" max="21" width="8.125" bestFit="1" customWidth="1"/>
    <col min="22" max="22" width="10.25" bestFit="1" customWidth="1"/>
  </cols>
  <sheetData>
    <row r="1" spans="1:23">
      <c r="A1" s="44" t="s">
        <v>2244</v>
      </c>
      <c r="B1" s="44" t="s">
        <v>2166</v>
      </c>
      <c r="C1" s="44" t="s">
        <v>98</v>
      </c>
      <c r="D1" s="44" t="s">
        <v>99</v>
      </c>
      <c r="E1" s="44" t="s">
        <v>2169</v>
      </c>
      <c r="F1" s="44" t="s">
        <v>2245</v>
      </c>
      <c r="G1" s="44" t="s">
        <v>2246</v>
      </c>
      <c r="H1" s="44" t="s">
        <v>2247</v>
      </c>
      <c r="I1" s="44" t="s">
        <v>2248</v>
      </c>
      <c r="J1" s="44" t="s">
        <v>2249</v>
      </c>
      <c r="K1" s="44" t="s">
        <v>2250</v>
      </c>
      <c r="L1" s="44" t="s">
        <v>2251</v>
      </c>
      <c r="M1" s="44" t="s">
        <v>2239</v>
      </c>
      <c r="N1" s="67" t="s">
        <v>2252</v>
      </c>
      <c r="O1" s="44" t="s">
        <v>2253</v>
      </c>
      <c r="P1" s="44" t="s">
        <v>2176</v>
      </c>
      <c r="Q1" s="44" t="s">
        <v>2181</v>
      </c>
      <c r="R1" s="56" t="s">
        <v>2244</v>
      </c>
      <c r="S1" s="56" t="s">
        <v>2254</v>
      </c>
      <c r="T1" s="56" t="s">
        <v>2171</v>
      </c>
      <c r="U1" s="56" t="s">
        <v>2255</v>
      </c>
      <c r="V1" s="56" t="s">
        <v>2256</v>
      </c>
      <c r="W1" s="57"/>
    </row>
    <row r="2" spans="1:23">
      <c r="A2" s="64">
        <v>1</v>
      </c>
      <c r="B2" s="54" t="s">
        <v>2205</v>
      </c>
      <c r="C2" s="54" t="s">
        <v>1990</v>
      </c>
      <c r="D2" s="53" t="s">
        <v>1991</v>
      </c>
      <c r="E2" s="65">
        <v>16</v>
      </c>
      <c r="F2" s="53" t="s">
        <v>2185</v>
      </c>
      <c r="G2" s="65">
        <v>75.801359087999998</v>
      </c>
      <c r="H2" s="65">
        <v>328</v>
      </c>
      <c r="I2" s="53">
        <v>20.5</v>
      </c>
      <c r="J2" s="55">
        <v>4.7375849429999999</v>
      </c>
      <c r="K2" s="53" t="s">
        <v>2257</v>
      </c>
      <c r="L2" s="53">
        <v>1</v>
      </c>
      <c r="M2" s="66">
        <v>96</v>
      </c>
      <c r="N2" s="68" t="s">
        <v>2187</v>
      </c>
      <c r="O2" s="53">
        <v>16</v>
      </c>
      <c r="P2" s="53">
        <v>6</v>
      </c>
      <c r="Q2" s="53"/>
      <c r="R2" s="57">
        <v>1</v>
      </c>
      <c r="S2" s="57">
        <f>COUNTIF($A$2:$A$20, R2)</f>
        <v>1</v>
      </c>
      <c r="T2" s="58">
        <f>SUMIFS($G$2:$G$20, $A$2:$A$20, R2)</f>
        <v>75.801359087999998</v>
      </c>
      <c r="U2" s="58">
        <f>SUMIFS($H$2:$H$20, $A$2:$A$20, R2)</f>
        <v>328</v>
      </c>
      <c r="V2" s="59">
        <f>IF(T2&gt;0, T2/工作表1!$C$11, 0)</f>
        <v>1.3782065288727272</v>
      </c>
      <c r="W2" s="57"/>
    </row>
    <row r="3" spans="1:23">
      <c r="A3" s="64">
        <v>2</v>
      </c>
      <c r="B3" s="54" t="s">
        <v>2228</v>
      </c>
      <c r="C3" s="54" t="s">
        <v>1643</v>
      </c>
      <c r="D3" s="53" t="s">
        <v>1644</v>
      </c>
      <c r="E3" s="65">
        <v>35</v>
      </c>
      <c r="F3" s="53" t="s">
        <v>2185</v>
      </c>
      <c r="G3" s="65">
        <v>62.751975719999997</v>
      </c>
      <c r="H3" s="65">
        <v>231</v>
      </c>
      <c r="I3" s="53">
        <v>6.6</v>
      </c>
      <c r="J3" s="55">
        <v>1.7929135919999999</v>
      </c>
      <c r="K3" s="53" t="s">
        <v>2257</v>
      </c>
      <c r="L3" s="53">
        <v>2</v>
      </c>
      <c r="M3" s="66">
        <v>420</v>
      </c>
      <c r="N3" s="68" t="s">
        <v>2187</v>
      </c>
      <c r="O3" s="53">
        <v>35</v>
      </c>
      <c r="P3" s="53">
        <v>12</v>
      </c>
      <c r="Q3" s="53"/>
      <c r="R3" s="57">
        <v>2</v>
      </c>
      <c r="S3" s="57">
        <f>COUNTIF($A$2:$A$20, R3)</f>
        <v>1</v>
      </c>
      <c r="T3" s="58">
        <f>SUMIFS($G$2:$G$20, $A$2:$A$20, R3)</f>
        <v>62.751975719999997</v>
      </c>
      <c r="U3" s="58">
        <f>SUMIFS($H$2:$H$20, $A$2:$A$20, R3)</f>
        <v>231</v>
      </c>
      <c r="V3" s="59">
        <f>IF(T3&gt;0, T3/工作表1!$C$11, 0)</f>
        <v>1.1409450130909091</v>
      </c>
      <c r="W3" s="57"/>
    </row>
    <row r="4" spans="1:23">
      <c r="A4" s="64">
        <v>3</v>
      </c>
      <c r="B4" s="54" t="s">
        <v>2228</v>
      </c>
      <c r="C4" s="54" t="s">
        <v>1643</v>
      </c>
      <c r="D4" s="53" t="s">
        <v>1644</v>
      </c>
      <c r="E4" s="65">
        <v>35</v>
      </c>
      <c r="F4" s="53" t="s">
        <v>2185</v>
      </c>
      <c r="G4" s="65">
        <v>62.751975719999997</v>
      </c>
      <c r="H4" s="65">
        <v>231</v>
      </c>
      <c r="I4" s="53">
        <v>6.6</v>
      </c>
      <c r="J4" s="55">
        <v>1.7929135919999999</v>
      </c>
      <c r="K4" s="53" t="s">
        <v>2257</v>
      </c>
      <c r="L4" s="53">
        <v>3</v>
      </c>
      <c r="M4" s="66">
        <v>420</v>
      </c>
      <c r="N4" s="68" t="s">
        <v>2187</v>
      </c>
      <c r="O4" s="53">
        <v>35</v>
      </c>
      <c r="P4" s="53">
        <v>12</v>
      </c>
      <c r="Q4" s="53"/>
      <c r="R4" s="57">
        <v>3</v>
      </c>
      <c r="S4" s="57">
        <f>COUNTIF($A$2:$A$20, R4)</f>
        <v>1</v>
      </c>
      <c r="T4" s="58">
        <f>SUMIFS($G$2:$G$20, $A$2:$A$20, R4)</f>
        <v>62.751975719999997</v>
      </c>
      <c r="U4" s="58">
        <f>SUMIFS($H$2:$H$20, $A$2:$A$20, R4)</f>
        <v>231</v>
      </c>
      <c r="V4" s="59">
        <f>IF(T4&gt;0, T4/工作表1!$C$11, 0)</f>
        <v>1.1409450130909091</v>
      </c>
      <c r="W4" s="57"/>
    </row>
    <row r="5" spans="1:23">
      <c r="A5" s="64">
        <v>4</v>
      </c>
      <c r="B5" s="54" t="s">
        <v>2231</v>
      </c>
      <c r="C5" s="54" t="s">
        <v>1712</v>
      </c>
      <c r="D5" s="53" t="s">
        <v>1713</v>
      </c>
      <c r="E5" s="65">
        <v>48</v>
      </c>
      <c r="F5" s="53" t="s">
        <v>2185</v>
      </c>
      <c r="G5" s="65">
        <v>68.16</v>
      </c>
      <c r="H5" s="65">
        <v>206.39999999999998</v>
      </c>
      <c r="I5" s="53">
        <v>4.3</v>
      </c>
      <c r="J5" s="55">
        <v>1.42</v>
      </c>
      <c r="K5" s="53" t="s">
        <v>2257</v>
      </c>
      <c r="L5" s="53">
        <v>4</v>
      </c>
      <c r="M5" s="66">
        <v>576</v>
      </c>
      <c r="N5" s="68" t="s">
        <v>2187</v>
      </c>
      <c r="O5" s="53">
        <v>48</v>
      </c>
      <c r="P5" s="53">
        <v>12</v>
      </c>
      <c r="Q5" s="53"/>
      <c r="R5" s="57">
        <v>4</v>
      </c>
      <c r="S5" s="57">
        <f>COUNTIF($A$2:$A$20, R5)</f>
        <v>1</v>
      </c>
      <c r="T5" s="58">
        <f>SUMIFS($G$2:$G$20, $A$2:$A$20, R5)</f>
        <v>68.16</v>
      </c>
      <c r="U5" s="58">
        <f>SUMIFS($H$2:$H$20, $A$2:$A$20, R5)</f>
        <v>206.39999999999998</v>
      </c>
      <c r="V5" s="59">
        <f>IF(T5&gt;0, T5/工作表1!$C$11, 0)</f>
        <v>1.2392727272727273</v>
      </c>
      <c r="W5" s="57"/>
    </row>
    <row r="6" spans="1:23">
      <c r="A6" s="64">
        <v>5</v>
      </c>
      <c r="B6" s="28" t="s">
        <v>2184</v>
      </c>
      <c r="C6" s="28" t="s">
        <v>321</v>
      </c>
      <c r="D6" t="s">
        <v>322</v>
      </c>
      <c r="E6" s="50">
        <v>4</v>
      </c>
      <c r="F6" t="s">
        <v>2185</v>
      </c>
      <c r="G6" s="50">
        <v>3.0376550400000002</v>
      </c>
      <c r="H6" s="50">
        <v>52</v>
      </c>
      <c r="I6">
        <v>13</v>
      </c>
      <c r="J6" s="49">
        <v>0.75941376000000005</v>
      </c>
      <c r="K6" t="s">
        <v>2262</v>
      </c>
      <c r="L6">
        <v>9</v>
      </c>
      <c r="M6" s="47">
        <v>48</v>
      </c>
      <c r="N6" s="25" t="s">
        <v>2187</v>
      </c>
      <c r="O6">
        <v>56</v>
      </c>
      <c r="P6">
        <v>12</v>
      </c>
      <c r="R6" s="57">
        <v>5</v>
      </c>
      <c r="S6" s="57">
        <f>COUNTIF($A$2:$A$20, R6)</f>
        <v>7</v>
      </c>
      <c r="T6" s="58">
        <f>SUMIFS($G$2:$G$20, $A$2:$A$20, R6)</f>
        <v>37.166949109999997</v>
      </c>
      <c r="U6" s="58">
        <f>SUMIFS($H$2:$H$20, $A$2:$A$20, R6)</f>
        <v>444.69999999999993</v>
      </c>
      <c r="V6" s="59">
        <f>IF(T6&gt;0, T6/工作表1!$C$11, 0)</f>
        <v>0.67576271109090902</v>
      </c>
      <c r="W6" s="57"/>
    </row>
    <row r="7" spans="1:23">
      <c r="A7" s="64">
        <v>5</v>
      </c>
      <c r="B7" s="28" t="s">
        <v>2223</v>
      </c>
      <c r="C7" s="28" t="s">
        <v>831</v>
      </c>
      <c r="D7" t="s">
        <v>832</v>
      </c>
      <c r="E7" s="50">
        <v>6</v>
      </c>
      <c r="F7" t="s">
        <v>2185</v>
      </c>
      <c r="G7" s="50">
        <v>5.6433384120000003</v>
      </c>
      <c r="H7" s="50">
        <v>78</v>
      </c>
      <c r="I7">
        <v>13</v>
      </c>
      <c r="J7" s="49">
        <v>0.94055640200000001</v>
      </c>
      <c r="K7" t="s">
        <v>2259</v>
      </c>
      <c r="L7">
        <v>6</v>
      </c>
      <c r="M7" s="47">
        <v>72</v>
      </c>
      <c r="N7" s="25" t="s">
        <v>2187</v>
      </c>
      <c r="O7">
        <v>96</v>
      </c>
      <c r="P7">
        <v>24</v>
      </c>
      <c r="R7" s="57">
        <v>6</v>
      </c>
      <c r="S7" s="57">
        <f>COUNTIF($A$2:$A$20, R7)</f>
        <v>8</v>
      </c>
      <c r="T7" s="58">
        <f>SUMIFS($G$2:$G$20, $A$2:$A$20, R7)</f>
        <v>32.923160431999996</v>
      </c>
      <c r="U7" s="58">
        <f>SUMIFS($H$2:$H$20, $A$2:$A$20, R7)</f>
        <v>445.5</v>
      </c>
      <c r="V7" s="59">
        <f>IF(T7&gt;0, T7/工作表1!$C$11, 0)</f>
        <v>0.59860291694545442</v>
      </c>
      <c r="W7" s="57"/>
    </row>
    <row r="8" spans="1:23">
      <c r="A8" s="64">
        <v>5</v>
      </c>
      <c r="B8" s="28" t="s">
        <v>2202</v>
      </c>
      <c r="C8" s="28" t="s">
        <v>450</v>
      </c>
      <c r="D8" t="s">
        <v>451</v>
      </c>
      <c r="E8" s="50">
        <v>1</v>
      </c>
      <c r="F8" t="s">
        <v>2185</v>
      </c>
      <c r="G8" s="50">
        <v>0.84046253299999996</v>
      </c>
      <c r="H8" s="50">
        <v>10.6</v>
      </c>
      <c r="I8">
        <v>10.6</v>
      </c>
      <c r="J8" s="49">
        <v>0.84046253299999996</v>
      </c>
      <c r="K8" t="s">
        <v>2261</v>
      </c>
      <c r="L8">
        <v>8</v>
      </c>
      <c r="M8" s="47">
        <v>24</v>
      </c>
      <c r="N8" s="25" t="s">
        <v>2187</v>
      </c>
      <c r="O8">
        <v>120</v>
      </c>
      <c r="P8">
        <v>12</v>
      </c>
      <c r="R8" s="60">
        <v>7</v>
      </c>
      <c r="S8" s="60">
        <f>COUNTIF($A$2:$A$20, R8)</f>
        <v>0</v>
      </c>
      <c r="T8" s="61">
        <f>SUMIFS($G$2:$G$20, $A$2:$A$20, R8)</f>
        <v>0</v>
      </c>
      <c r="U8" s="61">
        <f>SUMIFS($H$2:$H$20, $A$2:$A$20, R8)</f>
        <v>0</v>
      </c>
      <c r="V8" s="62">
        <f>IF(T8&gt;0, T8/工作表1!$C$11, 0)</f>
        <v>0</v>
      </c>
      <c r="W8" s="60" t="s">
        <v>2263</v>
      </c>
    </row>
    <row r="9" spans="1:23">
      <c r="A9" s="64">
        <v>5</v>
      </c>
      <c r="B9" s="28" t="s">
        <v>2193</v>
      </c>
      <c r="C9" s="28" t="s">
        <v>323</v>
      </c>
      <c r="D9" t="s">
        <v>324</v>
      </c>
      <c r="E9" s="50">
        <v>12</v>
      </c>
      <c r="F9" t="s">
        <v>2185</v>
      </c>
      <c r="G9" s="50">
        <v>6.9866065919999993</v>
      </c>
      <c r="H9" s="50">
        <v>97.199999999999989</v>
      </c>
      <c r="I9">
        <v>8.1</v>
      </c>
      <c r="J9" s="49">
        <v>0.58221721599999998</v>
      </c>
      <c r="K9" t="s">
        <v>2262</v>
      </c>
      <c r="L9">
        <v>10</v>
      </c>
      <c r="M9" s="47">
        <v>288</v>
      </c>
      <c r="N9" s="25" t="s">
        <v>2187</v>
      </c>
      <c r="O9">
        <v>108</v>
      </c>
      <c r="P9">
        <v>12</v>
      </c>
    </row>
    <row r="10" spans="1:23">
      <c r="A10" s="64">
        <v>5</v>
      </c>
      <c r="B10" s="28" t="s">
        <v>2225</v>
      </c>
      <c r="C10" s="28" t="s">
        <v>709</v>
      </c>
      <c r="D10" t="s">
        <v>710</v>
      </c>
      <c r="E10" s="50">
        <v>24</v>
      </c>
      <c r="F10" t="s">
        <v>2185</v>
      </c>
      <c r="G10" s="50">
        <v>14.149505663999999</v>
      </c>
      <c r="H10" s="50">
        <v>168</v>
      </c>
      <c r="I10">
        <v>7</v>
      </c>
      <c r="J10" s="49">
        <v>0.58956273599999998</v>
      </c>
      <c r="K10" t="s">
        <v>2262</v>
      </c>
      <c r="L10">
        <v>13</v>
      </c>
      <c r="M10" s="47">
        <v>288</v>
      </c>
      <c r="N10" s="25" t="s">
        <v>2187</v>
      </c>
      <c r="O10">
        <v>180</v>
      </c>
      <c r="P10">
        <v>12</v>
      </c>
    </row>
    <row r="11" spans="1:23">
      <c r="A11" s="64">
        <v>5</v>
      </c>
      <c r="B11" s="28" t="s">
        <v>2211</v>
      </c>
      <c r="C11" s="28" t="s">
        <v>685</v>
      </c>
      <c r="D11" t="s">
        <v>686</v>
      </c>
      <c r="E11" s="50">
        <v>2</v>
      </c>
      <c r="F11" t="s">
        <v>2185</v>
      </c>
      <c r="G11" s="50">
        <v>0.85547762400000005</v>
      </c>
      <c r="H11" s="50">
        <v>7.4</v>
      </c>
      <c r="I11">
        <v>3.7</v>
      </c>
      <c r="J11" s="49">
        <v>0.42773881200000002</v>
      </c>
      <c r="K11" t="s">
        <v>2262</v>
      </c>
      <c r="L11">
        <v>12</v>
      </c>
      <c r="M11" s="47">
        <v>24</v>
      </c>
      <c r="N11" s="25" t="s">
        <v>2212</v>
      </c>
      <c r="O11">
        <v>60</v>
      </c>
      <c r="P11">
        <v>12</v>
      </c>
      <c r="R11" s="56" t="s">
        <v>2264</v>
      </c>
      <c r="S11" s="56" t="s">
        <v>2254</v>
      </c>
      <c r="T11" s="56" t="s">
        <v>2171</v>
      </c>
      <c r="U11" s="56" t="s">
        <v>2255</v>
      </c>
      <c r="V11" s="56" t="s">
        <v>2265</v>
      </c>
    </row>
    <row r="12" spans="1:23">
      <c r="A12" s="64">
        <v>5</v>
      </c>
      <c r="B12" s="28" t="s">
        <v>2208</v>
      </c>
      <c r="C12" s="28" t="s">
        <v>1135</v>
      </c>
      <c r="D12" t="s">
        <v>1136</v>
      </c>
      <c r="E12" s="50">
        <v>15</v>
      </c>
      <c r="F12" t="s">
        <v>2185</v>
      </c>
      <c r="G12" s="50">
        <v>5.6539032449999995</v>
      </c>
      <c r="H12" s="50">
        <v>31.5</v>
      </c>
      <c r="I12">
        <v>2.1</v>
      </c>
      <c r="J12" s="49">
        <v>0.37692688299999999</v>
      </c>
      <c r="K12" t="s">
        <v>2262</v>
      </c>
      <c r="L12">
        <v>18</v>
      </c>
      <c r="M12" s="47">
        <v>180</v>
      </c>
      <c r="N12" s="25" t="s">
        <v>2187</v>
      </c>
      <c r="O12">
        <v>60</v>
      </c>
      <c r="P12">
        <v>24</v>
      </c>
      <c r="R12" s="57" t="s">
        <v>2266</v>
      </c>
      <c r="S12" s="57">
        <v>1</v>
      </c>
      <c r="T12" s="58">
        <v>0.84046253299999996</v>
      </c>
      <c r="U12" s="58">
        <v>10.6</v>
      </c>
      <c r="V12" s="58">
        <v>0.1</v>
      </c>
    </row>
    <row r="13" spans="1:23">
      <c r="A13" s="64">
        <v>6</v>
      </c>
      <c r="B13" s="28" t="s">
        <v>2190</v>
      </c>
      <c r="C13" s="28" t="s">
        <v>1246</v>
      </c>
      <c r="D13" t="s">
        <v>1247</v>
      </c>
      <c r="E13" s="50">
        <v>6</v>
      </c>
      <c r="F13" t="s">
        <v>2185</v>
      </c>
      <c r="G13" s="50">
        <v>5.4897563040000001</v>
      </c>
      <c r="H13" s="50">
        <v>95.4</v>
      </c>
      <c r="I13">
        <v>15.9</v>
      </c>
      <c r="J13" s="49">
        <v>0.91495938399999999</v>
      </c>
      <c r="K13" t="s">
        <v>2260</v>
      </c>
      <c r="L13">
        <v>7</v>
      </c>
      <c r="M13" s="47">
        <v>72</v>
      </c>
      <c r="N13" s="25" t="s">
        <v>2187</v>
      </c>
      <c r="O13">
        <v>48</v>
      </c>
      <c r="P13">
        <v>288</v>
      </c>
      <c r="R13" s="57" t="s">
        <v>2267</v>
      </c>
      <c r="S13" s="57">
        <v>1</v>
      </c>
      <c r="T13" s="58">
        <v>5.6433384120000003</v>
      </c>
      <c r="U13" s="58">
        <v>78</v>
      </c>
      <c r="V13" s="58">
        <v>0.2</v>
      </c>
    </row>
    <row r="14" spans="1:23">
      <c r="A14" s="64">
        <v>6</v>
      </c>
      <c r="B14" s="28" t="s">
        <v>2218</v>
      </c>
      <c r="C14" s="28" t="s">
        <v>1910</v>
      </c>
      <c r="D14" t="s">
        <v>1911</v>
      </c>
      <c r="E14" s="50">
        <v>1</v>
      </c>
      <c r="F14" t="s">
        <v>2185</v>
      </c>
      <c r="G14" s="50">
        <v>0.84774010700000002</v>
      </c>
      <c r="H14" s="50">
        <v>14.5</v>
      </c>
      <c r="I14">
        <v>14.5</v>
      </c>
      <c r="J14" s="49">
        <v>0.84774010700000002</v>
      </c>
      <c r="K14" t="s">
        <v>2262</v>
      </c>
      <c r="L14">
        <v>19</v>
      </c>
      <c r="M14" s="47">
        <v>12</v>
      </c>
      <c r="N14" s="25" t="s">
        <v>2219</v>
      </c>
      <c r="O14">
        <v>50</v>
      </c>
      <c r="P14">
        <v>10</v>
      </c>
      <c r="R14" s="57" t="s">
        <v>2268</v>
      </c>
      <c r="S14" s="57">
        <v>1</v>
      </c>
      <c r="T14" s="58">
        <v>5.4897563040000001</v>
      </c>
      <c r="U14" s="58">
        <v>95.4</v>
      </c>
      <c r="V14" s="58">
        <v>0.1</v>
      </c>
    </row>
    <row r="15" spans="1:23">
      <c r="A15" s="64">
        <v>6</v>
      </c>
      <c r="B15" s="28" t="s">
        <v>2234</v>
      </c>
      <c r="C15" s="28" t="s">
        <v>1508</v>
      </c>
      <c r="D15" t="s">
        <v>1509</v>
      </c>
      <c r="E15" s="50">
        <v>10</v>
      </c>
      <c r="F15" t="s">
        <v>2185</v>
      </c>
      <c r="G15" s="50">
        <v>9.4945217999999993</v>
      </c>
      <c r="H15" s="50">
        <v>110</v>
      </c>
      <c r="I15">
        <v>11</v>
      </c>
      <c r="J15" s="49">
        <v>0.94945217999999998</v>
      </c>
      <c r="K15" t="s">
        <v>2258</v>
      </c>
      <c r="L15">
        <v>5</v>
      </c>
      <c r="M15" s="47">
        <v>480</v>
      </c>
      <c r="N15" s="25" t="s">
        <v>2187</v>
      </c>
      <c r="O15">
        <v>108</v>
      </c>
      <c r="P15">
        <v>12</v>
      </c>
      <c r="R15" s="57" t="s">
        <v>2269</v>
      </c>
      <c r="S15" s="57">
        <v>1</v>
      </c>
      <c r="T15" s="58">
        <v>9.4945217999999993</v>
      </c>
      <c r="U15" s="58">
        <v>110</v>
      </c>
      <c r="V15" s="58">
        <v>0.2</v>
      </c>
    </row>
    <row r="16" spans="1:23">
      <c r="A16" s="64">
        <v>6</v>
      </c>
      <c r="B16" s="28" t="s">
        <v>2221</v>
      </c>
      <c r="C16" s="28" t="s">
        <v>753</v>
      </c>
      <c r="D16" t="s">
        <v>754</v>
      </c>
      <c r="E16" s="50">
        <v>6</v>
      </c>
      <c r="F16" t="s">
        <v>2185</v>
      </c>
      <c r="G16" s="50">
        <v>4.9586582579999998</v>
      </c>
      <c r="H16" s="50">
        <v>65.400000000000006</v>
      </c>
      <c r="I16">
        <v>10.9</v>
      </c>
      <c r="J16" s="49">
        <v>0.82644304300000004</v>
      </c>
      <c r="K16" t="s">
        <v>2262</v>
      </c>
      <c r="L16">
        <v>14</v>
      </c>
      <c r="M16" s="47">
        <v>60</v>
      </c>
      <c r="N16" s="25" t="s">
        <v>2187</v>
      </c>
      <c r="O16">
        <v>48</v>
      </c>
      <c r="P16">
        <v>12</v>
      </c>
      <c r="R16" s="56" t="s">
        <v>2270</v>
      </c>
      <c r="S16" s="56">
        <v>11</v>
      </c>
      <c r="T16" s="63">
        <v>48.622030492999997</v>
      </c>
      <c r="U16" s="63">
        <v>596.19999999999993</v>
      </c>
      <c r="V16" s="63">
        <v>0.9</v>
      </c>
    </row>
    <row r="17" spans="1:16">
      <c r="A17" s="64">
        <v>6</v>
      </c>
      <c r="B17" s="28" t="s">
        <v>2196</v>
      </c>
      <c r="C17" s="28" t="s">
        <v>327</v>
      </c>
      <c r="D17" t="s">
        <v>328</v>
      </c>
      <c r="E17" s="50">
        <v>6</v>
      </c>
      <c r="F17" t="s">
        <v>2185</v>
      </c>
      <c r="G17" s="50">
        <v>3.4793651699999995</v>
      </c>
      <c r="H17" s="50">
        <v>62.699999999999996</v>
      </c>
      <c r="I17">
        <v>10.45</v>
      </c>
      <c r="J17" s="49">
        <v>0.57989419499999995</v>
      </c>
      <c r="K17" t="s">
        <v>2262</v>
      </c>
      <c r="L17">
        <v>11</v>
      </c>
      <c r="M17" s="47">
        <v>144</v>
      </c>
      <c r="N17" s="25" t="s">
        <v>2187</v>
      </c>
      <c r="O17">
        <v>108</v>
      </c>
      <c r="P17">
        <v>12</v>
      </c>
    </row>
    <row r="18" spans="1:16">
      <c r="A18" s="64">
        <v>6</v>
      </c>
      <c r="B18" s="28" t="s">
        <v>2198</v>
      </c>
      <c r="C18" s="28" t="s">
        <v>855</v>
      </c>
      <c r="D18" t="s">
        <v>856</v>
      </c>
      <c r="E18" s="50">
        <v>6</v>
      </c>
      <c r="F18" t="s">
        <v>2185</v>
      </c>
      <c r="G18" s="50">
        <v>2.9531109299999998</v>
      </c>
      <c r="H18" s="50">
        <v>40.799999999999997</v>
      </c>
      <c r="I18">
        <v>6.8</v>
      </c>
      <c r="J18" s="49">
        <v>0.49218515499999999</v>
      </c>
      <c r="K18" t="s">
        <v>2262</v>
      </c>
      <c r="L18">
        <v>16</v>
      </c>
      <c r="M18" s="47">
        <v>72</v>
      </c>
      <c r="N18" s="25" t="s">
        <v>2187</v>
      </c>
      <c r="O18">
        <v>96</v>
      </c>
      <c r="P18">
        <v>24</v>
      </c>
    </row>
    <row r="19" spans="1:16">
      <c r="A19" s="64">
        <v>6</v>
      </c>
      <c r="B19" s="28" t="s">
        <v>2200</v>
      </c>
      <c r="C19" s="28" t="s">
        <v>801</v>
      </c>
      <c r="D19" t="s">
        <v>802</v>
      </c>
      <c r="E19" s="50">
        <v>6</v>
      </c>
      <c r="F19" t="s">
        <v>2185</v>
      </c>
      <c r="G19" s="50">
        <v>2.8710099119999999</v>
      </c>
      <c r="H19" s="50">
        <v>40.799999999999997</v>
      </c>
      <c r="I19">
        <v>6.8</v>
      </c>
      <c r="J19" s="49">
        <v>0.478501652</v>
      </c>
      <c r="K19" t="s">
        <v>2262</v>
      </c>
      <c r="L19">
        <v>15</v>
      </c>
      <c r="M19" s="47">
        <v>72</v>
      </c>
      <c r="N19" s="25" t="s">
        <v>2187</v>
      </c>
      <c r="O19">
        <v>80</v>
      </c>
      <c r="P19">
        <v>12</v>
      </c>
    </row>
    <row r="20" spans="1:16">
      <c r="A20" s="64">
        <v>6</v>
      </c>
      <c r="B20" s="28" t="s">
        <v>2215</v>
      </c>
      <c r="C20" s="28" t="s">
        <v>132</v>
      </c>
      <c r="D20" t="s">
        <v>133</v>
      </c>
      <c r="E20" s="50">
        <v>3</v>
      </c>
      <c r="F20" t="s">
        <v>2185</v>
      </c>
      <c r="G20" s="50">
        <v>2.8289979509999998</v>
      </c>
      <c r="H20" s="50">
        <v>15.899999999999999</v>
      </c>
      <c r="I20">
        <v>5.3</v>
      </c>
      <c r="J20" s="49">
        <v>0.94299931699999995</v>
      </c>
      <c r="K20" t="s">
        <v>2262</v>
      </c>
      <c r="L20">
        <v>17</v>
      </c>
      <c r="M20" s="47">
        <v>864</v>
      </c>
      <c r="N20" s="25" t="s">
        <v>2187</v>
      </c>
      <c r="O20">
        <v>36</v>
      </c>
      <c r="P20">
        <v>48</v>
      </c>
    </row>
  </sheetData>
  <sortState ref="A2:N20">
    <sortCondition ref="A2:A20"/>
    <sortCondition descending="1" ref="I2:I20"/>
  </sortState>
  <phoneticPr fontId="1" type="noConversion"/>
  <dataValidations count="1">
    <dataValidation type="list" allowBlank="1" showInputMessage="1" showErrorMessage="1" promptTitle="調整棧板編號" prompt="更換編號後，右側 O 欄彙總表會即時重算。_x000d__x000a_若要新增一板，請選擇最大數字 + 1。" sqref="A2:A20">
      <formula1>"1,2,3,4,5,6,7"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0"/>
  <sheetViews>
    <sheetView workbookViewId="0"/>
  </sheetViews>
  <sheetFormatPr defaultRowHeight="16.5"/>
  <cols>
    <col min="1" max="3" width="8.125" bestFit="1" customWidth="1"/>
    <col min="4" max="4" width="8.625" bestFit="1" customWidth="1"/>
    <col min="5" max="5" width="8.125" bestFit="1" customWidth="1"/>
    <col min="6" max="6" width="6" bestFit="1" customWidth="1"/>
    <col min="7" max="7" width="7.5" bestFit="1" customWidth="1"/>
    <col min="8" max="8" width="23.875" bestFit="1" customWidth="1"/>
    <col min="9" max="10" width="15" bestFit="1" customWidth="1"/>
    <col min="11" max="11" width="7.125" bestFit="1" customWidth="1"/>
    <col min="12" max="12" width="10.5" style="118" bestFit="1" customWidth="1"/>
    <col min="13" max="13" width="17.375" bestFit="1" customWidth="1"/>
    <col min="14" max="14" width="10.25" bestFit="1" customWidth="1"/>
    <col min="15" max="15" width="10.5" style="118" bestFit="1" customWidth="1"/>
    <col min="16" max="16" width="15" bestFit="1" customWidth="1"/>
    <col min="17" max="17" width="16.125" bestFit="1" customWidth="1"/>
  </cols>
  <sheetData>
    <row r="1" spans="1:17">
      <c r="A1" s="44" t="s">
        <v>2272</v>
      </c>
      <c r="B1" s="44" t="s">
        <v>2255</v>
      </c>
      <c r="C1" s="44" t="s">
        <v>2171</v>
      </c>
      <c r="D1" s="44" t="s">
        <v>2273</v>
      </c>
      <c r="E1" s="44" t="s">
        <v>2274</v>
      </c>
      <c r="F1" s="44" t="s">
        <v>2238</v>
      </c>
      <c r="G1" s="44" t="s">
        <v>98</v>
      </c>
      <c r="H1" s="44" t="s">
        <v>99</v>
      </c>
      <c r="I1" s="44" t="s">
        <v>2275</v>
      </c>
      <c r="J1" s="44" t="s">
        <v>2276</v>
      </c>
      <c r="K1" s="44" t="s">
        <v>2277</v>
      </c>
      <c r="L1" s="117" t="s">
        <v>2178</v>
      </c>
      <c r="M1" s="44" t="s">
        <v>2278</v>
      </c>
      <c r="N1" s="44" t="s">
        <v>2279</v>
      </c>
      <c r="O1" s="117" t="s">
        <v>2280</v>
      </c>
      <c r="P1" s="44" t="s">
        <v>2281</v>
      </c>
      <c r="Q1" s="44" t="s">
        <v>2282</v>
      </c>
    </row>
    <row r="2" spans="1:17">
      <c r="A2" t="s">
        <v>2290</v>
      </c>
      <c r="B2">
        <v>328</v>
      </c>
      <c r="C2">
        <v>75.8</v>
      </c>
      <c r="D2" s="80">
        <v>1.3779999999999999</v>
      </c>
      <c r="E2">
        <v>16</v>
      </c>
      <c r="F2" s="28" t="s">
        <v>2184</v>
      </c>
      <c r="G2" s="28" t="s">
        <v>1990</v>
      </c>
      <c r="H2" t="s">
        <v>1991</v>
      </c>
      <c r="I2" t="s">
        <v>2206</v>
      </c>
      <c r="J2" t="s">
        <v>2291</v>
      </c>
      <c r="K2">
        <v>20.5</v>
      </c>
      <c r="L2" s="118">
        <v>47154</v>
      </c>
      <c r="M2">
        <v>16</v>
      </c>
      <c r="N2" t="s">
        <v>2160</v>
      </c>
      <c r="O2" s="118" t="s">
        <v>2292</v>
      </c>
      <c r="P2" s="28" t="s">
        <v>2207</v>
      </c>
      <c r="Q2" s="28" t="s">
        <v>2293</v>
      </c>
    </row>
    <row r="3" spans="1:17">
      <c r="A3" t="s">
        <v>2297</v>
      </c>
      <c r="B3">
        <v>231</v>
      </c>
      <c r="C3">
        <v>62.8</v>
      </c>
      <c r="D3" s="80">
        <v>1.141</v>
      </c>
      <c r="E3">
        <v>70</v>
      </c>
      <c r="F3" s="28" t="s">
        <v>2184</v>
      </c>
      <c r="G3" s="28" t="s">
        <v>1643</v>
      </c>
      <c r="H3" t="s">
        <v>1644</v>
      </c>
      <c r="I3" t="s">
        <v>2229</v>
      </c>
      <c r="J3" t="s">
        <v>2298</v>
      </c>
      <c r="K3">
        <v>6.6</v>
      </c>
      <c r="M3">
        <v>70</v>
      </c>
      <c r="N3" t="s">
        <v>2160</v>
      </c>
      <c r="O3" s="118" t="s">
        <v>2292</v>
      </c>
      <c r="P3" s="28" t="s">
        <v>2230</v>
      </c>
      <c r="Q3" s="28" t="s">
        <v>2299</v>
      </c>
    </row>
    <row r="4" spans="1:17">
      <c r="A4" t="s">
        <v>2302</v>
      </c>
      <c r="B4">
        <v>231</v>
      </c>
      <c r="C4">
        <v>62.8</v>
      </c>
      <c r="D4" s="80">
        <v>1.141</v>
      </c>
      <c r="E4">
        <v>70</v>
      </c>
      <c r="F4" s="28" t="s">
        <v>2184</v>
      </c>
      <c r="G4" s="28" t="s">
        <v>1643</v>
      </c>
      <c r="H4" t="s">
        <v>1644</v>
      </c>
      <c r="I4" t="s">
        <v>2229</v>
      </c>
      <c r="J4" t="s">
        <v>2298</v>
      </c>
      <c r="K4">
        <v>6.6</v>
      </c>
      <c r="M4">
        <v>70</v>
      </c>
      <c r="N4" t="s">
        <v>2160</v>
      </c>
      <c r="O4" s="118" t="s">
        <v>2292</v>
      </c>
      <c r="P4" s="28" t="s">
        <v>2230</v>
      </c>
      <c r="Q4" s="28" t="s">
        <v>2299</v>
      </c>
    </row>
    <row r="5" spans="1:17">
      <c r="A5" t="s">
        <v>2304</v>
      </c>
      <c r="B5">
        <v>206.4</v>
      </c>
      <c r="C5">
        <v>68.2</v>
      </c>
      <c r="D5" s="80">
        <v>1.2390000000000001</v>
      </c>
      <c r="E5">
        <v>48</v>
      </c>
      <c r="F5" s="28" t="s">
        <v>2184</v>
      </c>
      <c r="G5" s="28" t="s">
        <v>1712</v>
      </c>
      <c r="H5" t="s">
        <v>1713</v>
      </c>
      <c r="I5" t="s">
        <v>2232</v>
      </c>
      <c r="J5" t="s">
        <v>2305</v>
      </c>
      <c r="K5">
        <v>4.3</v>
      </c>
      <c r="M5">
        <v>48</v>
      </c>
      <c r="N5" t="s">
        <v>2160</v>
      </c>
      <c r="O5" s="118" t="s">
        <v>2292</v>
      </c>
      <c r="P5" s="28" t="s">
        <v>2233</v>
      </c>
      <c r="Q5" s="28" t="s">
        <v>2306</v>
      </c>
    </row>
    <row r="6" spans="1:17">
      <c r="A6" t="s">
        <v>2310</v>
      </c>
      <c r="B6">
        <v>444.7</v>
      </c>
      <c r="C6">
        <v>37.200000000000003</v>
      </c>
      <c r="D6" s="80">
        <v>0.67600000000000005</v>
      </c>
      <c r="E6">
        <v>64</v>
      </c>
      <c r="F6" s="28" t="s">
        <v>2184</v>
      </c>
      <c r="G6" s="28" t="s">
        <v>321</v>
      </c>
      <c r="H6" t="s">
        <v>322</v>
      </c>
      <c r="I6" t="s">
        <v>2188</v>
      </c>
      <c r="J6" t="s">
        <v>2311</v>
      </c>
      <c r="K6">
        <v>13</v>
      </c>
      <c r="L6" s="118">
        <v>46794</v>
      </c>
      <c r="M6">
        <v>4</v>
      </c>
      <c r="N6" t="s">
        <v>2160</v>
      </c>
      <c r="O6" s="118" t="s">
        <v>2292</v>
      </c>
      <c r="P6" s="28" t="s">
        <v>2189</v>
      </c>
      <c r="Q6" s="28" t="s">
        <v>2312</v>
      </c>
    </row>
    <row r="7" spans="1:17">
      <c r="A7" t="s">
        <v>2310</v>
      </c>
      <c r="B7">
        <v>444.7</v>
      </c>
      <c r="C7">
        <v>37.200000000000003</v>
      </c>
      <c r="D7" s="80">
        <v>0.67600000000000005</v>
      </c>
      <c r="E7">
        <v>64</v>
      </c>
      <c r="F7" s="28" t="s">
        <v>2190</v>
      </c>
      <c r="G7" s="28" t="s">
        <v>831</v>
      </c>
      <c r="H7" t="s">
        <v>832</v>
      </c>
      <c r="I7" t="s">
        <v>2191</v>
      </c>
      <c r="J7" t="s">
        <v>2313</v>
      </c>
      <c r="K7">
        <v>13</v>
      </c>
      <c r="L7" s="118">
        <v>46511</v>
      </c>
      <c r="M7">
        <v>6</v>
      </c>
      <c r="N7" t="s">
        <v>2160</v>
      </c>
      <c r="O7" s="118" t="s">
        <v>2292</v>
      </c>
      <c r="P7" s="28" t="s">
        <v>2224</v>
      </c>
      <c r="Q7" s="28" t="s">
        <v>2314</v>
      </c>
    </row>
    <row r="8" spans="1:17">
      <c r="A8" t="s">
        <v>2310</v>
      </c>
      <c r="B8">
        <v>444.7</v>
      </c>
      <c r="C8">
        <v>37.200000000000003</v>
      </c>
      <c r="D8" s="80">
        <v>0.67600000000000005</v>
      </c>
      <c r="E8">
        <v>64</v>
      </c>
      <c r="F8" s="28" t="s">
        <v>2193</v>
      </c>
      <c r="G8" s="28" t="s">
        <v>450</v>
      </c>
      <c r="H8" t="s">
        <v>451</v>
      </c>
      <c r="I8" t="s">
        <v>2203</v>
      </c>
      <c r="J8" t="s">
        <v>2315</v>
      </c>
      <c r="K8">
        <v>10.6</v>
      </c>
      <c r="L8" s="118">
        <v>46491</v>
      </c>
      <c r="M8">
        <v>1</v>
      </c>
      <c r="N8" t="s">
        <v>2160</v>
      </c>
      <c r="O8" s="118" t="s">
        <v>2292</v>
      </c>
      <c r="P8" s="28" t="s">
        <v>2204</v>
      </c>
      <c r="Q8" s="28" t="s">
        <v>2316</v>
      </c>
    </row>
    <row r="9" spans="1:17">
      <c r="A9" t="s">
        <v>2310</v>
      </c>
      <c r="B9">
        <v>444.7</v>
      </c>
      <c r="C9">
        <v>37.200000000000003</v>
      </c>
      <c r="D9" s="80">
        <v>0.67600000000000005</v>
      </c>
      <c r="E9">
        <v>64</v>
      </c>
      <c r="F9" s="28" t="s">
        <v>2196</v>
      </c>
      <c r="G9" s="28" t="s">
        <v>323</v>
      </c>
      <c r="H9" t="s">
        <v>324</v>
      </c>
      <c r="I9" t="s">
        <v>2194</v>
      </c>
      <c r="J9" t="s">
        <v>2317</v>
      </c>
      <c r="K9">
        <v>8.1</v>
      </c>
      <c r="L9" s="118">
        <v>46855</v>
      </c>
      <c r="M9">
        <v>12</v>
      </c>
      <c r="N9" t="s">
        <v>2160</v>
      </c>
      <c r="O9" s="118" t="s">
        <v>2292</v>
      </c>
      <c r="P9" s="28" t="s">
        <v>2195</v>
      </c>
      <c r="Q9" s="28" t="s">
        <v>2318</v>
      </c>
    </row>
    <row r="10" spans="1:17">
      <c r="A10" t="s">
        <v>2310</v>
      </c>
      <c r="B10">
        <v>444.7</v>
      </c>
      <c r="C10">
        <v>37.200000000000003</v>
      </c>
      <c r="D10" s="80">
        <v>0.67600000000000005</v>
      </c>
      <c r="E10">
        <v>64</v>
      </c>
      <c r="F10" s="28" t="s">
        <v>2198</v>
      </c>
      <c r="G10" s="28" t="s">
        <v>709</v>
      </c>
      <c r="H10" t="s">
        <v>710</v>
      </c>
      <c r="I10" t="s">
        <v>2226</v>
      </c>
      <c r="J10" t="s">
        <v>2317</v>
      </c>
      <c r="K10">
        <v>7</v>
      </c>
      <c r="L10" s="118">
        <v>46719</v>
      </c>
      <c r="M10">
        <v>24</v>
      </c>
      <c r="N10" t="s">
        <v>2160</v>
      </c>
      <c r="O10" s="118" t="s">
        <v>2292</v>
      </c>
      <c r="P10" s="28" t="s">
        <v>2227</v>
      </c>
      <c r="Q10" s="28" t="s">
        <v>2319</v>
      </c>
    </row>
    <row r="11" spans="1:17">
      <c r="A11" t="s">
        <v>2310</v>
      </c>
      <c r="B11">
        <v>444.7</v>
      </c>
      <c r="C11">
        <v>37.200000000000003</v>
      </c>
      <c r="D11" s="80">
        <v>0.67600000000000005</v>
      </c>
      <c r="E11">
        <v>64</v>
      </c>
      <c r="F11" s="28" t="s">
        <v>2200</v>
      </c>
      <c r="G11" s="28" t="s">
        <v>685</v>
      </c>
      <c r="H11" t="s">
        <v>686</v>
      </c>
      <c r="I11" t="s">
        <v>2213</v>
      </c>
      <c r="J11" t="s">
        <v>2320</v>
      </c>
      <c r="K11">
        <v>3.7</v>
      </c>
      <c r="L11" s="118">
        <v>46520</v>
      </c>
      <c r="M11">
        <v>2</v>
      </c>
      <c r="N11" t="s">
        <v>2160</v>
      </c>
      <c r="O11" s="118" t="s">
        <v>2292</v>
      </c>
      <c r="P11" s="28" t="s">
        <v>2214</v>
      </c>
      <c r="Q11" s="28" t="s">
        <v>2321</v>
      </c>
    </row>
    <row r="12" spans="1:17">
      <c r="A12" t="s">
        <v>2310</v>
      </c>
      <c r="B12">
        <v>444.7</v>
      </c>
      <c r="C12">
        <v>37.200000000000003</v>
      </c>
      <c r="D12" s="80">
        <v>0.67600000000000005</v>
      </c>
      <c r="E12">
        <v>64</v>
      </c>
      <c r="F12" s="28" t="s">
        <v>2202</v>
      </c>
      <c r="G12" s="28" t="s">
        <v>1135</v>
      </c>
      <c r="H12" t="s">
        <v>1136</v>
      </c>
      <c r="I12" t="s">
        <v>2209</v>
      </c>
      <c r="J12" t="s">
        <v>2322</v>
      </c>
      <c r="K12">
        <v>2.1</v>
      </c>
      <c r="L12" s="118">
        <v>46540</v>
      </c>
      <c r="M12">
        <v>15</v>
      </c>
      <c r="N12" t="s">
        <v>2160</v>
      </c>
      <c r="O12" s="118" t="s">
        <v>2292</v>
      </c>
      <c r="P12" s="28" t="s">
        <v>2210</v>
      </c>
      <c r="Q12" s="28" t="s">
        <v>2323</v>
      </c>
    </row>
    <row r="13" spans="1:17">
      <c r="A13" t="s">
        <v>2326</v>
      </c>
      <c r="B13">
        <v>445.5</v>
      </c>
      <c r="C13">
        <v>32.9</v>
      </c>
      <c r="D13" s="80">
        <v>0.59899999999999998</v>
      </c>
      <c r="E13">
        <v>44</v>
      </c>
      <c r="F13" s="28" t="s">
        <v>2184</v>
      </c>
      <c r="G13" s="28" t="s">
        <v>1246</v>
      </c>
      <c r="H13" t="s">
        <v>1247</v>
      </c>
      <c r="I13" t="s">
        <v>2191</v>
      </c>
      <c r="J13" t="s">
        <v>2313</v>
      </c>
      <c r="K13">
        <v>15.9</v>
      </c>
      <c r="L13" s="118">
        <v>46541</v>
      </c>
      <c r="M13">
        <v>6</v>
      </c>
      <c r="N13" t="s">
        <v>2160</v>
      </c>
      <c r="O13" s="118" t="s">
        <v>2292</v>
      </c>
      <c r="P13" s="28" t="s">
        <v>2192</v>
      </c>
      <c r="Q13" s="28" t="s">
        <v>2327</v>
      </c>
    </row>
    <row r="14" spans="1:17">
      <c r="A14" t="s">
        <v>2326</v>
      </c>
      <c r="B14">
        <v>445.5</v>
      </c>
      <c r="C14">
        <v>32.9</v>
      </c>
      <c r="D14" s="80">
        <v>0.59899999999999998</v>
      </c>
      <c r="E14">
        <v>44</v>
      </c>
      <c r="F14" s="28" t="s">
        <v>2190</v>
      </c>
      <c r="G14" s="28" t="s">
        <v>1910</v>
      </c>
      <c r="H14" t="s">
        <v>1911</v>
      </c>
      <c r="I14" t="s">
        <v>2203</v>
      </c>
      <c r="J14" t="s">
        <v>2328</v>
      </c>
      <c r="K14">
        <v>14.5</v>
      </c>
      <c r="L14" s="118">
        <v>47185</v>
      </c>
      <c r="M14">
        <v>1</v>
      </c>
      <c r="N14" t="s">
        <v>2160</v>
      </c>
      <c r="O14" s="118" t="s">
        <v>2292</v>
      </c>
      <c r="P14" s="28" t="s">
        <v>2220</v>
      </c>
      <c r="Q14" s="28" t="s">
        <v>2329</v>
      </c>
    </row>
    <row r="15" spans="1:17">
      <c r="A15" t="s">
        <v>2326</v>
      </c>
      <c r="B15">
        <v>445.5</v>
      </c>
      <c r="C15">
        <v>32.9</v>
      </c>
      <c r="D15" s="80">
        <v>0.59899999999999998</v>
      </c>
      <c r="E15">
        <v>44</v>
      </c>
      <c r="F15" s="28" t="s">
        <v>2193</v>
      </c>
      <c r="G15" s="28" t="s">
        <v>1508</v>
      </c>
      <c r="H15" t="s">
        <v>1509</v>
      </c>
      <c r="I15" t="s">
        <v>2235</v>
      </c>
      <c r="J15" t="s">
        <v>2330</v>
      </c>
      <c r="K15">
        <v>11</v>
      </c>
      <c r="L15" s="118">
        <v>46545</v>
      </c>
      <c r="M15">
        <v>10</v>
      </c>
      <c r="N15" t="s">
        <v>2160</v>
      </c>
      <c r="O15" s="118" t="s">
        <v>2292</v>
      </c>
      <c r="P15" s="28" t="s">
        <v>2236</v>
      </c>
      <c r="Q15" s="28" t="s">
        <v>2331</v>
      </c>
    </row>
    <row r="16" spans="1:17">
      <c r="A16" t="s">
        <v>2326</v>
      </c>
      <c r="B16">
        <v>445.5</v>
      </c>
      <c r="C16">
        <v>32.9</v>
      </c>
      <c r="D16" s="80">
        <v>0.59899999999999998</v>
      </c>
      <c r="E16">
        <v>44</v>
      </c>
      <c r="F16" s="28" t="s">
        <v>2196</v>
      </c>
      <c r="G16" s="28" t="s">
        <v>753</v>
      </c>
      <c r="H16" t="s">
        <v>754</v>
      </c>
      <c r="I16" t="s">
        <v>2191</v>
      </c>
      <c r="J16" t="s">
        <v>2332</v>
      </c>
      <c r="K16">
        <v>10.9</v>
      </c>
      <c r="L16" s="118">
        <v>46527</v>
      </c>
      <c r="M16">
        <v>6</v>
      </c>
      <c r="N16" t="s">
        <v>2160</v>
      </c>
      <c r="O16" s="118" t="s">
        <v>2292</v>
      </c>
      <c r="P16" s="28" t="s">
        <v>2222</v>
      </c>
      <c r="Q16" s="28" t="s">
        <v>2333</v>
      </c>
    </row>
    <row r="17" spans="1:17">
      <c r="A17" t="s">
        <v>2326</v>
      </c>
      <c r="B17">
        <v>445.5</v>
      </c>
      <c r="C17">
        <v>32.9</v>
      </c>
      <c r="D17" s="80">
        <v>0.59899999999999998</v>
      </c>
      <c r="E17">
        <v>44</v>
      </c>
      <c r="F17" s="28" t="s">
        <v>2198</v>
      </c>
      <c r="G17" s="28" t="s">
        <v>327</v>
      </c>
      <c r="H17" t="s">
        <v>328</v>
      </c>
      <c r="I17" t="s">
        <v>2191</v>
      </c>
      <c r="J17" t="s">
        <v>2334</v>
      </c>
      <c r="K17">
        <v>10.45</v>
      </c>
      <c r="L17" s="118">
        <v>46697</v>
      </c>
      <c r="M17">
        <v>6</v>
      </c>
      <c r="N17" t="s">
        <v>2160</v>
      </c>
      <c r="O17" s="118" t="s">
        <v>2292</v>
      </c>
      <c r="P17" s="28" t="s">
        <v>2197</v>
      </c>
      <c r="Q17" s="28" t="s">
        <v>2335</v>
      </c>
    </row>
    <row r="18" spans="1:17">
      <c r="A18" t="s">
        <v>2326</v>
      </c>
      <c r="B18">
        <v>445.5</v>
      </c>
      <c r="C18">
        <v>32.9</v>
      </c>
      <c r="D18" s="80">
        <v>0.59899999999999998</v>
      </c>
      <c r="E18">
        <v>44</v>
      </c>
      <c r="F18" s="28" t="s">
        <v>2200</v>
      </c>
      <c r="G18" s="28" t="s">
        <v>855</v>
      </c>
      <c r="H18" t="s">
        <v>856</v>
      </c>
      <c r="I18" t="s">
        <v>2191</v>
      </c>
      <c r="J18" t="s">
        <v>2313</v>
      </c>
      <c r="K18">
        <v>6.8</v>
      </c>
      <c r="L18" s="118">
        <v>46681</v>
      </c>
      <c r="M18">
        <v>6</v>
      </c>
      <c r="N18" t="s">
        <v>2160</v>
      </c>
      <c r="O18" s="118" t="s">
        <v>2292</v>
      </c>
      <c r="P18" s="28" t="s">
        <v>2199</v>
      </c>
      <c r="Q18" s="28" t="s">
        <v>2336</v>
      </c>
    </row>
    <row r="19" spans="1:17">
      <c r="A19" t="s">
        <v>2326</v>
      </c>
      <c r="B19">
        <v>445.5</v>
      </c>
      <c r="C19">
        <v>32.9</v>
      </c>
      <c r="D19" s="80">
        <v>0.59899999999999998</v>
      </c>
      <c r="E19">
        <v>44</v>
      </c>
      <c r="F19" s="28" t="s">
        <v>2202</v>
      </c>
      <c r="G19" s="28" t="s">
        <v>801</v>
      </c>
      <c r="H19" t="s">
        <v>802</v>
      </c>
      <c r="I19" t="s">
        <v>2191</v>
      </c>
      <c r="J19" t="s">
        <v>2313</v>
      </c>
      <c r="K19">
        <v>6.8</v>
      </c>
      <c r="L19" s="118">
        <v>46513</v>
      </c>
      <c r="M19">
        <v>6</v>
      </c>
      <c r="N19" t="s">
        <v>2160</v>
      </c>
      <c r="O19" s="118" t="s">
        <v>2292</v>
      </c>
      <c r="P19" s="28" t="s">
        <v>2201</v>
      </c>
      <c r="Q19" s="28" t="s">
        <v>2337</v>
      </c>
    </row>
    <row r="20" spans="1:17">
      <c r="A20" t="s">
        <v>2326</v>
      </c>
      <c r="B20">
        <v>445.5</v>
      </c>
      <c r="C20">
        <v>32.9</v>
      </c>
      <c r="D20" s="80">
        <v>0.59899999999999998</v>
      </c>
      <c r="E20">
        <v>44</v>
      </c>
      <c r="F20" s="28" t="s">
        <v>2205</v>
      </c>
      <c r="G20" s="28" t="s">
        <v>132</v>
      </c>
      <c r="H20" t="s">
        <v>133</v>
      </c>
      <c r="I20" t="s">
        <v>2216</v>
      </c>
      <c r="J20" t="s">
        <v>2338</v>
      </c>
      <c r="K20">
        <v>5.3</v>
      </c>
      <c r="L20" s="118">
        <v>46679</v>
      </c>
      <c r="M20">
        <v>3</v>
      </c>
      <c r="N20" t="s">
        <v>2160</v>
      </c>
      <c r="O20" s="118" t="s">
        <v>2292</v>
      </c>
      <c r="P20" s="28" t="s">
        <v>2217</v>
      </c>
      <c r="Q20" s="28" t="s">
        <v>2339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15"/>
  <sheetViews>
    <sheetView workbookViewId="0"/>
  </sheetViews>
  <sheetFormatPr defaultRowHeight="16.5"/>
  <cols>
    <col min="1" max="1" width="4.625" customWidth="1"/>
    <col min="2" max="2" width="5.625" customWidth="1"/>
    <col min="3" max="3" width="8.625" customWidth="1"/>
    <col min="4" max="4" width="46.625" customWidth="1"/>
    <col min="5" max="5" width="12.625" customWidth="1"/>
    <col min="6" max="6" width="5.125" customWidth="1"/>
    <col min="7" max="7" width="13.625" customWidth="1"/>
    <col min="8" max="8" width="10.625" customWidth="1"/>
    <col min="9" max="9" width="7.625" customWidth="1"/>
  </cols>
  <sheetData>
    <row r="1" spans="1:9" ht="35.1" customHeight="1">
      <c r="A1" s="69" t="s">
        <v>2283</v>
      </c>
      <c r="B1" s="69"/>
      <c r="C1" s="69"/>
      <c r="D1" s="69"/>
      <c r="E1" s="69"/>
      <c r="F1" s="69"/>
      <c r="G1" s="69"/>
      <c r="H1" s="69"/>
      <c r="I1" s="69"/>
    </row>
    <row r="2" spans="1:9" ht="20.100000000000001" customHeight="1" thickBot="1">
      <c r="A2" s="72" t="s">
        <v>2285</v>
      </c>
      <c r="H2" s="71"/>
      <c r="I2" s="70" t="s">
        <v>2284</v>
      </c>
    </row>
    <row r="3" spans="1:9" ht="24.95" customHeight="1" thickTop="1" thickBot="1">
      <c r="A3" s="73" t="s">
        <v>2286</v>
      </c>
      <c r="B3" s="73"/>
      <c r="C3" s="73"/>
      <c r="D3" s="73"/>
      <c r="E3" s="73"/>
      <c r="F3" s="73"/>
      <c r="G3" s="73"/>
      <c r="H3" s="73"/>
      <c r="I3" s="73"/>
    </row>
    <row r="4" spans="1:9" ht="26.1" customHeight="1" thickTop="1">
      <c r="A4" s="74" t="s">
        <v>2287</v>
      </c>
      <c r="B4" s="75"/>
      <c r="C4" s="75"/>
      <c r="D4" s="75"/>
      <c r="E4" s="75"/>
      <c r="F4" s="75"/>
      <c r="G4" s="76" t="s">
        <v>2295</v>
      </c>
      <c r="H4" s="76"/>
      <c r="I4" s="77"/>
    </row>
    <row r="5" spans="1:9" ht="24.95" customHeight="1">
      <c r="A5" s="78" t="s">
        <v>2237</v>
      </c>
      <c r="B5" s="78" t="s">
        <v>2238</v>
      </c>
      <c r="C5" s="78" t="s">
        <v>98</v>
      </c>
      <c r="D5" s="83" t="s">
        <v>99</v>
      </c>
      <c r="E5" s="78" t="s">
        <v>2178</v>
      </c>
      <c r="F5" s="79" t="s">
        <v>2289</v>
      </c>
      <c r="G5" s="78" t="s">
        <v>2181</v>
      </c>
      <c r="H5" s="78" t="s">
        <v>2239</v>
      </c>
      <c r="I5" s="78" t="s">
        <v>2288</v>
      </c>
    </row>
    <row r="6" spans="1:9" ht="24" customHeight="1" thickBot="1">
      <c r="A6" s="86">
        <v>1</v>
      </c>
      <c r="B6" s="87" t="s">
        <v>2205</v>
      </c>
      <c r="C6" s="87" t="s">
        <v>1990</v>
      </c>
      <c r="D6" s="88" t="s">
        <v>1991</v>
      </c>
      <c r="E6" s="89">
        <v>47154</v>
      </c>
      <c r="F6" s="90" t="s">
        <v>2294</v>
      </c>
      <c r="G6" s="86" t="s">
        <v>2206</v>
      </c>
      <c r="H6" s="86" t="s">
        <v>2291</v>
      </c>
      <c r="I6" s="86">
        <v>20.5</v>
      </c>
    </row>
    <row r="7" spans="1:9" ht="20.100000000000001" customHeight="1" thickTop="1">
      <c r="A7" s="91"/>
      <c r="B7" s="91"/>
      <c r="C7" s="91"/>
      <c r="D7" s="91"/>
      <c r="E7" s="91"/>
      <c r="F7" s="91"/>
      <c r="G7" s="91"/>
      <c r="H7" s="91"/>
      <c r="I7" s="91"/>
    </row>
    <row r="8" spans="1:9" ht="26.1" customHeight="1">
      <c r="A8" s="92" t="s">
        <v>2296</v>
      </c>
      <c r="B8" s="93"/>
      <c r="C8" s="93"/>
      <c r="D8" s="93"/>
      <c r="E8" s="93"/>
      <c r="F8" s="93"/>
      <c r="G8" s="94" t="s">
        <v>2300</v>
      </c>
      <c r="H8" s="94"/>
      <c r="I8" s="95"/>
    </row>
    <row r="9" spans="1:9" ht="24.95" customHeight="1">
      <c r="A9" s="78" t="s">
        <v>2237</v>
      </c>
      <c r="B9" s="78" t="s">
        <v>2238</v>
      </c>
      <c r="C9" s="78" t="s">
        <v>98</v>
      </c>
      <c r="D9" s="83" t="s">
        <v>99</v>
      </c>
      <c r="E9" s="78" t="s">
        <v>2178</v>
      </c>
      <c r="F9" s="79" t="s">
        <v>2289</v>
      </c>
      <c r="G9" s="78" t="s">
        <v>2181</v>
      </c>
      <c r="H9" s="78" t="s">
        <v>2239</v>
      </c>
      <c r="I9" s="78" t="s">
        <v>2288</v>
      </c>
    </row>
    <row r="10" spans="1:9" ht="24" customHeight="1" thickBot="1">
      <c r="A10" s="86">
        <v>1</v>
      </c>
      <c r="B10" s="87" t="s">
        <v>2228</v>
      </c>
      <c r="C10" s="87" t="s">
        <v>1643</v>
      </c>
      <c r="D10" s="88" t="s">
        <v>1644</v>
      </c>
      <c r="E10" s="89"/>
      <c r="F10" s="90" t="s">
        <v>2294</v>
      </c>
      <c r="G10" s="86" t="s">
        <v>2229</v>
      </c>
      <c r="H10" s="86" t="s">
        <v>2298</v>
      </c>
      <c r="I10" s="86">
        <v>6.6</v>
      </c>
    </row>
    <row r="11" spans="1:9" ht="20.100000000000001" customHeight="1" thickTop="1">
      <c r="A11" s="91"/>
      <c r="B11" s="91"/>
      <c r="C11" s="91"/>
      <c r="D11" s="91"/>
      <c r="E11" s="91"/>
      <c r="F11" s="91"/>
      <c r="G11" s="91"/>
      <c r="H11" s="91"/>
      <c r="I11" s="91"/>
    </row>
    <row r="12" spans="1:9" ht="26.1" customHeight="1">
      <c r="A12" s="92" t="s">
        <v>2301</v>
      </c>
      <c r="B12" s="93"/>
      <c r="C12" s="93"/>
      <c r="D12" s="93"/>
      <c r="E12" s="93"/>
      <c r="F12" s="93"/>
      <c r="G12" s="94" t="s">
        <v>2300</v>
      </c>
      <c r="H12" s="94"/>
      <c r="I12" s="95"/>
    </row>
    <row r="13" spans="1:9" ht="24.95" customHeight="1">
      <c r="A13" s="78" t="s">
        <v>2237</v>
      </c>
      <c r="B13" s="78" t="s">
        <v>2238</v>
      </c>
      <c r="C13" s="78" t="s">
        <v>98</v>
      </c>
      <c r="D13" s="83" t="s">
        <v>99</v>
      </c>
      <c r="E13" s="78" t="s">
        <v>2178</v>
      </c>
      <c r="F13" s="79" t="s">
        <v>2289</v>
      </c>
      <c r="G13" s="78" t="s">
        <v>2181</v>
      </c>
      <c r="H13" s="78" t="s">
        <v>2239</v>
      </c>
      <c r="I13" s="78" t="s">
        <v>2288</v>
      </c>
    </row>
    <row r="14" spans="1:9" ht="24" customHeight="1" thickBot="1">
      <c r="A14" s="86">
        <v>1</v>
      </c>
      <c r="B14" s="87" t="s">
        <v>2228</v>
      </c>
      <c r="C14" s="87" t="s">
        <v>1643</v>
      </c>
      <c r="D14" s="88" t="s">
        <v>1644</v>
      </c>
      <c r="E14" s="89"/>
      <c r="F14" s="90" t="s">
        <v>2294</v>
      </c>
      <c r="G14" s="86" t="s">
        <v>2229</v>
      </c>
      <c r="H14" s="86" t="s">
        <v>2298</v>
      </c>
      <c r="I14" s="86">
        <v>6.6</v>
      </c>
    </row>
    <row r="15" spans="1:9" ht="17.25" thickTop="1">
      <c r="A15" s="91"/>
      <c r="B15" s="91"/>
      <c r="C15" s="91"/>
      <c r="D15" s="91"/>
      <c r="E15" s="91"/>
      <c r="F15" s="91"/>
      <c r="G15" s="91"/>
      <c r="H15" s="91"/>
      <c r="I15" s="91"/>
    </row>
  </sheetData>
  <mergeCells count="8">
    <mergeCell ref="A12:F12"/>
    <mergeCell ref="G12:I12"/>
    <mergeCell ref="A1:I1"/>
    <mergeCell ref="A3:I3"/>
    <mergeCell ref="A4:F4"/>
    <mergeCell ref="G4:I4"/>
    <mergeCell ref="A8:F8"/>
    <mergeCell ref="G8:I8"/>
  </mergeCells>
  <phoneticPr fontId="1" type="noConversion"/>
  <printOptions horizontalCentered="1"/>
  <pageMargins left="0.7" right="0.7" top="0.59055118110236215" bottom="0.31496062992125989" header="0.3" footer="0.3"/>
  <pageSetup paperSize="9" scale="76" fitToHeight="0" orientation="portrait" r:id="rId1"/>
  <headerFooter>
    <oddHeader>&amp;L&amp;"微軟正黑體,粗體"&amp;16 棧板分板明細 (第 1 頁 / 共 3 頁)&amp;R&amp;"微軟正黑體,粗體"&amp;16 宜蘭所0611-T7031</oddHeader>
    <oddFooter>&amp;C&amp;"微軟正黑體,粗體"&amp;16 第 &amp;P 頁 / 共 &amp;N 頁&amp;L&amp;"微軟正黑體,粗體"&amp;16 表單編號:D-035A&amp;R&amp;"微軟正黑體,粗體"&amp;16 日正食品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17"/>
  <sheetViews>
    <sheetView workbookViewId="0"/>
  </sheetViews>
  <sheetFormatPr defaultRowHeight="16.5"/>
  <cols>
    <col min="1" max="1" width="4.625" customWidth="1"/>
    <col min="2" max="2" width="5.625" customWidth="1"/>
    <col min="3" max="3" width="8.625" customWidth="1"/>
    <col min="4" max="4" width="46.625" customWidth="1"/>
    <col min="5" max="5" width="12.625" customWidth="1"/>
    <col min="6" max="6" width="5.125" customWidth="1"/>
    <col min="7" max="7" width="13.625" customWidth="1"/>
    <col min="8" max="8" width="10.625" customWidth="1"/>
    <col min="9" max="9" width="7.625" customWidth="1"/>
  </cols>
  <sheetData>
    <row r="1" spans="1:9" ht="35.1" customHeight="1">
      <c r="A1" s="69" t="s">
        <v>2283</v>
      </c>
      <c r="B1" s="69"/>
      <c r="C1" s="69"/>
      <c r="D1" s="69"/>
      <c r="E1" s="69"/>
      <c r="F1" s="69"/>
      <c r="G1" s="69"/>
      <c r="H1" s="69"/>
      <c r="I1" s="69"/>
    </row>
    <row r="2" spans="1:9" ht="20.100000000000001" customHeight="1" thickBot="1">
      <c r="A2" s="72" t="s">
        <v>2285</v>
      </c>
      <c r="H2" s="71"/>
      <c r="I2" s="70" t="s">
        <v>2284</v>
      </c>
    </row>
    <row r="3" spans="1:9" ht="24.95" customHeight="1" thickTop="1" thickBot="1">
      <c r="A3" s="73" t="s">
        <v>2286</v>
      </c>
      <c r="B3" s="73"/>
      <c r="C3" s="73"/>
      <c r="D3" s="73"/>
      <c r="E3" s="73"/>
      <c r="F3" s="73"/>
      <c r="G3" s="73"/>
      <c r="H3" s="73"/>
      <c r="I3" s="73"/>
    </row>
    <row r="4" spans="1:9" ht="26.1" customHeight="1" thickTop="1">
      <c r="A4" s="74" t="s">
        <v>2303</v>
      </c>
      <c r="B4" s="75"/>
      <c r="C4" s="75"/>
      <c r="D4" s="75"/>
      <c r="E4" s="75"/>
      <c r="F4" s="75"/>
      <c r="G4" s="76" t="s">
        <v>2307</v>
      </c>
      <c r="H4" s="76"/>
      <c r="I4" s="77"/>
    </row>
    <row r="5" spans="1:9" ht="24.95" customHeight="1">
      <c r="A5" s="78" t="s">
        <v>2237</v>
      </c>
      <c r="B5" s="78" t="s">
        <v>2238</v>
      </c>
      <c r="C5" s="78" t="s">
        <v>98</v>
      </c>
      <c r="D5" s="83" t="s">
        <v>99</v>
      </c>
      <c r="E5" s="78" t="s">
        <v>2178</v>
      </c>
      <c r="F5" s="79" t="s">
        <v>2289</v>
      </c>
      <c r="G5" s="78" t="s">
        <v>2181</v>
      </c>
      <c r="H5" s="78" t="s">
        <v>2239</v>
      </c>
      <c r="I5" s="78" t="s">
        <v>2288</v>
      </c>
    </row>
    <row r="6" spans="1:9" ht="24" customHeight="1" thickBot="1">
      <c r="A6" s="86">
        <v>1</v>
      </c>
      <c r="B6" s="87" t="s">
        <v>2231</v>
      </c>
      <c r="C6" s="87" t="s">
        <v>1712</v>
      </c>
      <c r="D6" s="88" t="s">
        <v>1713</v>
      </c>
      <c r="E6" s="89"/>
      <c r="F6" s="90" t="s">
        <v>2294</v>
      </c>
      <c r="G6" s="86" t="s">
        <v>2232</v>
      </c>
      <c r="H6" s="86" t="s">
        <v>2305</v>
      </c>
      <c r="I6" s="86">
        <v>4.3</v>
      </c>
    </row>
    <row r="7" spans="1:9" ht="20.100000000000001" customHeight="1" thickTop="1">
      <c r="A7" s="91"/>
      <c r="B7" s="91"/>
      <c r="C7" s="91"/>
      <c r="D7" s="91"/>
      <c r="E7" s="91"/>
      <c r="F7" s="91"/>
      <c r="G7" s="91"/>
      <c r="H7" s="91"/>
      <c r="I7" s="91"/>
    </row>
    <row r="8" spans="1:9" ht="26.1" customHeight="1">
      <c r="A8" s="92" t="s">
        <v>2308</v>
      </c>
      <c r="B8" s="93"/>
      <c r="C8" s="93"/>
      <c r="D8" s="93"/>
      <c r="E8" s="93"/>
      <c r="F8" s="93"/>
      <c r="G8" s="94" t="s">
        <v>2324</v>
      </c>
      <c r="H8" s="94"/>
      <c r="I8" s="95"/>
    </row>
    <row r="9" spans="1:9" ht="24.95" customHeight="1">
      <c r="A9" s="78" t="s">
        <v>2237</v>
      </c>
      <c r="B9" s="78" t="s">
        <v>2238</v>
      </c>
      <c r="C9" s="78" t="s">
        <v>98</v>
      </c>
      <c r="D9" s="83" t="s">
        <v>99</v>
      </c>
      <c r="E9" s="78" t="s">
        <v>2178</v>
      </c>
      <c r="F9" s="79" t="s">
        <v>2309</v>
      </c>
      <c r="G9" s="78" t="s">
        <v>2181</v>
      </c>
      <c r="H9" s="78" t="s">
        <v>2239</v>
      </c>
      <c r="I9" s="78" t="s">
        <v>2288</v>
      </c>
    </row>
    <row r="10" spans="1:9" ht="24" customHeight="1">
      <c r="A10" s="81">
        <v>1</v>
      </c>
      <c r="B10" s="82" t="s">
        <v>2184</v>
      </c>
      <c r="C10" s="82" t="s">
        <v>321</v>
      </c>
      <c r="D10" s="88" t="s">
        <v>322</v>
      </c>
      <c r="E10" s="84">
        <v>46794</v>
      </c>
      <c r="F10" s="85" t="s">
        <v>2294</v>
      </c>
      <c r="G10" s="81" t="s">
        <v>2188</v>
      </c>
      <c r="H10" s="81" t="s">
        <v>2311</v>
      </c>
      <c r="I10" s="81">
        <v>13</v>
      </c>
    </row>
    <row r="11" spans="1:9" ht="24" customHeight="1">
      <c r="A11" s="96">
        <v>2</v>
      </c>
      <c r="B11" s="97" t="s">
        <v>2223</v>
      </c>
      <c r="C11" s="97" t="s">
        <v>831</v>
      </c>
      <c r="D11" s="102" t="s">
        <v>832</v>
      </c>
      <c r="E11" s="98">
        <v>46511</v>
      </c>
      <c r="F11" s="99" t="s">
        <v>2294</v>
      </c>
      <c r="G11" s="96" t="s">
        <v>2191</v>
      </c>
      <c r="H11" s="96" t="s">
        <v>2313</v>
      </c>
      <c r="I11" s="96">
        <v>13</v>
      </c>
    </row>
    <row r="12" spans="1:9" ht="24" customHeight="1">
      <c r="A12" s="100">
        <v>3</v>
      </c>
      <c r="B12" s="101" t="s">
        <v>2202</v>
      </c>
      <c r="C12" s="101" t="s">
        <v>450</v>
      </c>
      <c r="D12" s="102" t="s">
        <v>451</v>
      </c>
      <c r="E12" s="103">
        <v>46491</v>
      </c>
      <c r="F12" s="104" t="s">
        <v>2294</v>
      </c>
      <c r="G12" s="100" t="s">
        <v>2203</v>
      </c>
      <c r="H12" s="100" t="s">
        <v>2315</v>
      </c>
      <c r="I12" s="100">
        <v>10.6</v>
      </c>
    </row>
    <row r="13" spans="1:9" ht="24" customHeight="1">
      <c r="A13" s="96">
        <v>4</v>
      </c>
      <c r="B13" s="97" t="s">
        <v>2193</v>
      </c>
      <c r="C13" s="97" t="s">
        <v>323</v>
      </c>
      <c r="D13" s="102" t="s">
        <v>324</v>
      </c>
      <c r="E13" s="98">
        <v>46855</v>
      </c>
      <c r="F13" s="99" t="s">
        <v>2294</v>
      </c>
      <c r="G13" s="96" t="s">
        <v>2194</v>
      </c>
      <c r="H13" s="96" t="s">
        <v>2317</v>
      </c>
      <c r="I13" s="96">
        <v>8.1</v>
      </c>
    </row>
    <row r="14" spans="1:9" ht="24" customHeight="1">
      <c r="A14" s="100">
        <v>5</v>
      </c>
      <c r="B14" s="101" t="s">
        <v>2225</v>
      </c>
      <c r="C14" s="101" t="s">
        <v>709</v>
      </c>
      <c r="D14" s="102" t="s">
        <v>710</v>
      </c>
      <c r="E14" s="103">
        <v>46719</v>
      </c>
      <c r="F14" s="104" t="s">
        <v>2294</v>
      </c>
      <c r="G14" s="100" t="s">
        <v>2226</v>
      </c>
      <c r="H14" s="100" t="s">
        <v>2317</v>
      </c>
      <c r="I14" s="100">
        <v>7</v>
      </c>
    </row>
    <row r="15" spans="1:9" ht="24" customHeight="1">
      <c r="A15" s="96">
        <v>6</v>
      </c>
      <c r="B15" s="97" t="s">
        <v>2211</v>
      </c>
      <c r="C15" s="97" t="s">
        <v>685</v>
      </c>
      <c r="D15" s="102" t="s">
        <v>686</v>
      </c>
      <c r="E15" s="98">
        <v>46520</v>
      </c>
      <c r="F15" s="99" t="s">
        <v>2294</v>
      </c>
      <c r="G15" s="96" t="s">
        <v>2213</v>
      </c>
      <c r="H15" s="96" t="s">
        <v>2320</v>
      </c>
      <c r="I15" s="96">
        <v>3.7</v>
      </c>
    </row>
    <row r="16" spans="1:9" ht="24" customHeight="1" thickBot="1">
      <c r="A16" s="105">
        <v>7</v>
      </c>
      <c r="B16" s="106" t="s">
        <v>2208</v>
      </c>
      <c r="C16" s="106" t="s">
        <v>1135</v>
      </c>
      <c r="D16" s="102" t="s">
        <v>1136</v>
      </c>
      <c r="E16" s="107">
        <v>46540</v>
      </c>
      <c r="F16" s="108" t="s">
        <v>2294</v>
      </c>
      <c r="G16" s="105" t="s">
        <v>2209</v>
      </c>
      <c r="H16" s="105" t="s">
        <v>2322</v>
      </c>
      <c r="I16" s="105">
        <v>2.1</v>
      </c>
    </row>
    <row r="17" spans="1:9" ht="17.25" thickTop="1">
      <c r="A17" s="91"/>
      <c r="B17" s="91"/>
      <c r="C17" s="91"/>
      <c r="D17" s="91"/>
      <c r="E17" s="91"/>
      <c r="F17" s="91"/>
      <c r="G17" s="91"/>
      <c r="H17" s="91"/>
      <c r="I17" s="91"/>
    </row>
  </sheetData>
  <mergeCells count="6">
    <mergeCell ref="A1:I1"/>
    <mergeCell ref="A3:I3"/>
    <mergeCell ref="A4:F4"/>
    <mergeCell ref="G4:I4"/>
    <mergeCell ref="A8:F8"/>
    <mergeCell ref="G8:I8"/>
  </mergeCells>
  <phoneticPr fontId="1" type="noConversion"/>
  <printOptions horizontalCentered="1"/>
  <pageMargins left="0.7" right="0.7" top="0.59055118110236215" bottom="0.31496062992125989" header="0.3" footer="0.3"/>
  <pageSetup paperSize="9" scale="76" fitToHeight="0" orientation="portrait" r:id="rId1"/>
  <headerFooter>
    <oddHeader>&amp;L&amp;"微軟正黑體,粗體"&amp;16 棧板分板明細 (第 2 頁 / 共 3 頁)&amp;R&amp;"微軟正黑體,粗體"&amp;16 宜蘭所0611-T7031</oddHeader>
    <oddFooter>&amp;C&amp;"微軟正黑體,粗體"&amp;16 第 &amp;P 頁 / 共 &amp;N 頁&amp;L&amp;"微軟正黑體,粗體"&amp;16 表單編號:D-035A&amp;R&amp;"微軟正黑體,粗體"&amp;16 日正食品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14"/>
  <sheetViews>
    <sheetView workbookViewId="0"/>
  </sheetViews>
  <sheetFormatPr defaultRowHeight="16.5"/>
  <cols>
    <col min="1" max="1" width="4.625" customWidth="1"/>
    <col min="2" max="2" width="5.625" customWidth="1"/>
    <col min="3" max="3" width="8.625" customWidth="1"/>
    <col min="4" max="4" width="46.625" customWidth="1"/>
    <col min="5" max="5" width="12.625" customWidth="1"/>
    <col min="6" max="6" width="5.125" customWidth="1"/>
    <col min="7" max="7" width="13.625" customWidth="1"/>
    <col min="8" max="8" width="10.625" customWidth="1"/>
    <col min="9" max="9" width="7.625" customWidth="1"/>
  </cols>
  <sheetData>
    <row r="1" spans="1:9" ht="35.1" customHeight="1">
      <c r="A1" s="69" t="s">
        <v>2283</v>
      </c>
      <c r="B1" s="69"/>
      <c r="C1" s="69"/>
      <c r="D1" s="69"/>
      <c r="E1" s="69"/>
      <c r="F1" s="69"/>
      <c r="G1" s="69"/>
      <c r="H1" s="69"/>
      <c r="I1" s="69"/>
    </row>
    <row r="2" spans="1:9" ht="20.100000000000001" customHeight="1" thickBot="1">
      <c r="A2" s="72" t="s">
        <v>2285</v>
      </c>
      <c r="H2" s="71"/>
      <c r="I2" s="70" t="s">
        <v>2284</v>
      </c>
    </row>
    <row r="3" spans="1:9" ht="24.95" customHeight="1" thickTop="1" thickBot="1">
      <c r="A3" s="73" t="s">
        <v>2286</v>
      </c>
      <c r="B3" s="73"/>
      <c r="C3" s="73"/>
      <c r="D3" s="73"/>
      <c r="E3" s="73"/>
      <c r="F3" s="73"/>
      <c r="G3" s="73"/>
      <c r="H3" s="73"/>
      <c r="I3" s="73"/>
    </row>
    <row r="4" spans="1:9" ht="26.1" customHeight="1" thickTop="1">
      <c r="A4" s="109" t="s">
        <v>2325</v>
      </c>
      <c r="B4" s="110"/>
      <c r="C4" s="110"/>
      <c r="D4" s="110"/>
      <c r="E4" s="110"/>
      <c r="F4" s="110"/>
      <c r="G4" s="111" t="s">
        <v>2340</v>
      </c>
      <c r="H4" s="111"/>
      <c r="I4" s="112"/>
    </row>
    <row r="5" spans="1:9" ht="24.95" customHeight="1">
      <c r="A5" s="78" t="s">
        <v>2237</v>
      </c>
      <c r="B5" s="78" t="s">
        <v>2238</v>
      </c>
      <c r="C5" s="78" t="s">
        <v>98</v>
      </c>
      <c r="D5" s="83" t="s">
        <v>99</v>
      </c>
      <c r="E5" s="78" t="s">
        <v>2178</v>
      </c>
      <c r="F5" s="79" t="s">
        <v>2289</v>
      </c>
      <c r="G5" s="78" t="s">
        <v>2181</v>
      </c>
      <c r="H5" s="78" t="s">
        <v>2239</v>
      </c>
      <c r="I5" s="78" t="s">
        <v>2288</v>
      </c>
    </row>
    <row r="6" spans="1:9" ht="24" customHeight="1">
      <c r="A6" s="81">
        <v>1</v>
      </c>
      <c r="B6" s="82" t="s">
        <v>2190</v>
      </c>
      <c r="C6" s="82" t="s">
        <v>1246</v>
      </c>
      <c r="D6" s="88" t="s">
        <v>1247</v>
      </c>
      <c r="E6" s="84">
        <v>46541</v>
      </c>
      <c r="F6" s="85" t="s">
        <v>2294</v>
      </c>
      <c r="G6" s="81" t="s">
        <v>2191</v>
      </c>
      <c r="H6" s="81" t="s">
        <v>2313</v>
      </c>
      <c r="I6" s="81">
        <v>15.9</v>
      </c>
    </row>
    <row r="7" spans="1:9" ht="24" customHeight="1">
      <c r="A7" s="96">
        <v>2</v>
      </c>
      <c r="B7" s="97" t="s">
        <v>2218</v>
      </c>
      <c r="C7" s="97" t="s">
        <v>1910</v>
      </c>
      <c r="D7" s="102" t="s">
        <v>1911</v>
      </c>
      <c r="E7" s="98">
        <v>47185</v>
      </c>
      <c r="F7" s="99" t="s">
        <v>2294</v>
      </c>
      <c r="G7" s="96" t="s">
        <v>2203</v>
      </c>
      <c r="H7" s="96" t="s">
        <v>2328</v>
      </c>
      <c r="I7" s="96">
        <v>14.5</v>
      </c>
    </row>
    <row r="8" spans="1:9" ht="24" customHeight="1">
      <c r="A8" s="100">
        <v>3</v>
      </c>
      <c r="B8" s="101" t="s">
        <v>2234</v>
      </c>
      <c r="C8" s="101" t="s">
        <v>1508</v>
      </c>
      <c r="D8" s="102" t="s">
        <v>1509</v>
      </c>
      <c r="E8" s="103">
        <v>46545</v>
      </c>
      <c r="F8" s="104" t="s">
        <v>2294</v>
      </c>
      <c r="G8" s="100" t="s">
        <v>2235</v>
      </c>
      <c r="H8" s="100" t="s">
        <v>2330</v>
      </c>
      <c r="I8" s="100">
        <v>11</v>
      </c>
    </row>
    <row r="9" spans="1:9" ht="24" customHeight="1">
      <c r="A9" s="96">
        <v>4</v>
      </c>
      <c r="B9" s="97" t="s">
        <v>2221</v>
      </c>
      <c r="C9" s="97" t="s">
        <v>753</v>
      </c>
      <c r="D9" s="102" t="s">
        <v>754</v>
      </c>
      <c r="E9" s="98">
        <v>46527</v>
      </c>
      <c r="F9" s="99" t="s">
        <v>2294</v>
      </c>
      <c r="G9" s="96" t="s">
        <v>2191</v>
      </c>
      <c r="H9" s="96" t="s">
        <v>2332</v>
      </c>
      <c r="I9" s="96">
        <v>10.9</v>
      </c>
    </row>
    <row r="10" spans="1:9" ht="24" customHeight="1">
      <c r="A10" s="100">
        <v>5</v>
      </c>
      <c r="B10" s="101" t="s">
        <v>2196</v>
      </c>
      <c r="C10" s="101" t="s">
        <v>327</v>
      </c>
      <c r="D10" s="102" t="s">
        <v>328</v>
      </c>
      <c r="E10" s="103">
        <v>46697</v>
      </c>
      <c r="F10" s="104" t="s">
        <v>2294</v>
      </c>
      <c r="G10" s="100" t="s">
        <v>2191</v>
      </c>
      <c r="H10" s="100" t="s">
        <v>2334</v>
      </c>
      <c r="I10" s="100">
        <v>10.5</v>
      </c>
    </row>
    <row r="11" spans="1:9" ht="24" customHeight="1">
      <c r="A11" s="96">
        <v>6</v>
      </c>
      <c r="B11" s="97" t="s">
        <v>2198</v>
      </c>
      <c r="C11" s="97" t="s">
        <v>855</v>
      </c>
      <c r="D11" s="102" t="s">
        <v>856</v>
      </c>
      <c r="E11" s="98">
        <v>46681</v>
      </c>
      <c r="F11" s="99" t="s">
        <v>2294</v>
      </c>
      <c r="G11" s="96" t="s">
        <v>2191</v>
      </c>
      <c r="H11" s="96" t="s">
        <v>2313</v>
      </c>
      <c r="I11" s="96">
        <v>6.8</v>
      </c>
    </row>
    <row r="12" spans="1:9" ht="24" customHeight="1">
      <c r="A12" s="100">
        <v>7</v>
      </c>
      <c r="B12" s="101" t="s">
        <v>2200</v>
      </c>
      <c r="C12" s="101" t="s">
        <v>801</v>
      </c>
      <c r="D12" s="102" t="s">
        <v>802</v>
      </c>
      <c r="E12" s="103">
        <v>46513</v>
      </c>
      <c r="F12" s="104" t="s">
        <v>2294</v>
      </c>
      <c r="G12" s="100" t="s">
        <v>2191</v>
      </c>
      <c r="H12" s="100" t="s">
        <v>2313</v>
      </c>
      <c r="I12" s="100">
        <v>6.8</v>
      </c>
    </row>
    <row r="13" spans="1:9" ht="24" customHeight="1" thickBot="1">
      <c r="A13" s="113">
        <v>8</v>
      </c>
      <c r="B13" s="114" t="s">
        <v>2215</v>
      </c>
      <c r="C13" s="114" t="s">
        <v>132</v>
      </c>
      <c r="D13" s="102" t="s">
        <v>133</v>
      </c>
      <c r="E13" s="115">
        <v>46679</v>
      </c>
      <c r="F13" s="116" t="s">
        <v>2294</v>
      </c>
      <c r="G13" s="113" t="s">
        <v>2216</v>
      </c>
      <c r="H13" s="113" t="s">
        <v>2338</v>
      </c>
      <c r="I13" s="113">
        <v>5.3</v>
      </c>
    </row>
    <row r="14" spans="1:9" ht="17.25" thickTop="1">
      <c r="A14" s="91"/>
      <c r="B14" s="91"/>
      <c r="C14" s="91"/>
      <c r="D14" s="91"/>
      <c r="E14" s="91"/>
      <c r="F14" s="91"/>
      <c r="G14" s="91"/>
      <c r="H14" s="91"/>
      <c r="I14" s="91"/>
    </row>
  </sheetData>
  <mergeCells count="4">
    <mergeCell ref="A1:I1"/>
    <mergeCell ref="A3:I3"/>
    <mergeCell ref="A4:F4"/>
    <mergeCell ref="G4:I4"/>
  </mergeCells>
  <phoneticPr fontId="1" type="noConversion"/>
  <printOptions horizontalCentered="1"/>
  <pageMargins left="0.7" right="0.7" top="0.59055118110236215" bottom="0.31496062992125989" header="0.3" footer="0.3"/>
  <pageSetup paperSize="9" scale="76" fitToHeight="0" orientation="portrait" r:id="rId1"/>
  <headerFooter>
    <oddHeader>&amp;L&amp;"微軟正黑體,粗體"&amp;16 棧板分板明細 (第 3 頁 / 共 3 頁)&amp;R&amp;"微軟正黑體,粗體"&amp;16 宜蘭所0611-T7031</oddHeader>
    <oddFooter>&amp;C&amp;"微軟正黑體,粗體"&amp;16 第 &amp;P 頁 / 共 &amp;N 頁&amp;L&amp;"微軟正黑體,粗體"&amp;16 表單編號:D-035A&amp;R&amp;"微軟正黑體,粗體"&amp;16 日正食品</oddFooter>
  </headerFooter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工作表1</vt:lpstr>
      <vt:lpstr>_SYS</vt:lpstr>
      <vt:lpstr>產品主檔暫存</vt:lpstr>
      <vt:lpstr>OrderBase</vt:lpstr>
      <vt:lpstr>OrderBase-1</vt:lpstr>
      <vt:lpstr>PalletPickList</vt:lpstr>
      <vt:lpstr>Upload_Buffer</vt:lpstr>
      <vt:lpstr>PDF_Pallet_Report_P1</vt:lpstr>
      <vt:lpstr>PDF_Pallet_Report_P2</vt:lpstr>
      <vt:lpstr>PDF_Pallet_Report_P3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User</cp:lastModifiedBy>
  <cp:lastPrinted>2026-06-13T06:10:58Z</cp:lastPrinted>
  <dcterms:created xsi:type="dcterms:W3CDTF">2025-12-13T13:08:39Z</dcterms:created>
  <dcterms:modified xsi:type="dcterms:W3CDTF">2026-06-13T06:25:38Z</dcterms:modified>
</cp:coreProperties>
</file>